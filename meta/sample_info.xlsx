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ah/Desktop/plates_4/"/>
    </mc:Choice>
  </mc:AlternateContent>
  <xr:revisionPtr revIDLastSave="0" documentId="13_ncr:1_{DF66D787-D9B2-BE4F-AC82-C18191372955}" xr6:coauthVersionLast="47" xr6:coauthVersionMax="47" xr10:uidLastSave="{00000000-0000-0000-0000-000000000000}"/>
  <bookViews>
    <workbookView xWindow="55640" yWindow="460" windowWidth="24360" windowHeight="28080" firstSheet="8" activeTab="12" xr2:uid="{1FCD1690-3EAA-3148-A454-14A9313432B2}"/>
  </bookViews>
  <sheets>
    <sheet name="1_CNS-Glioblastoma" sheetId="1" r:id="rId1"/>
    <sheet name="2_H&amp;N_cancer" sheetId="2" r:id="rId2"/>
    <sheet name="3_CNS-Meningioma" sheetId="3" r:id="rId3"/>
    <sheet name="4_Chordoma_Chondrosarcoma" sheetId="4" r:id="rId4"/>
    <sheet name="5_CNS-other" sheetId="5" r:id="rId5"/>
    <sheet name="6_Sarcoma-Ewing" sheetId="6" r:id="rId6"/>
    <sheet name="7_Lymphoma" sheetId="7" r:id="rId7"/>
    <sheet name="8_CNS-Ependymoma" sheetId="8" r:id="rId8"/>
    <sheet name="9_CNS-Medulloblastoma" sheetId="9" r:id="rId9"/>
    <sheet name="10_Sarcoma-Rhabdomyosarcoma" sheetId="10" r:id="rId10"/>
    <sheet name="11_Sarcoma-other" sheetId="11" r:id="rId11"/>
    <sheet name="12_Sarcoma-Neuroblastoma" sheetId="12" r:id="rId12"/>
    <sheet name="13_Other" sheetId="13" r:id="rId13"/>
    <sheet name="14_Other" sheetId="14" r:id="rId1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4" l="1"/>
  <c r="B2" i="14"/>
  <c r="E2" i="13"/>
  <c r="B2" i="13"/>
  <c r="E2" i="12"/>
  <c r="B2" i="12"/>
  <c r="E2" i="11"/>
  <c r="B2" i="11"/>
  <c r="E2" i="10"/>
  <c r="B2" i="10"/>
  <c r="E2" i="9"/>
  <c r="B2" i="9"/>
  <c r="E2" i="8"/>
  <c r="B2" i="8"/>
  <c r="E2" i="7"/>
  <c r="B2" i="7"/>
  <c r="E2" i="6"/>
  <c r="B2" i="6"/>
  <c r="E2" i="5"/>
  <c r="B2" i="5"/>
  <c r="E2" i="4"/>
  <c r="B2" i="4"/>
  <c r="E2" i="3"/>
  <c r="B2" i="3"/>
  <c r="E2" i="2"/>
  <c r="B2" i="2"/>
  <c r="E2" i="1"/>
  <c r="B2" i="1"/>
</calcChain>
</file>

<file path=xl/sharedStrings.xml><?xml version="1.0" encoding="utf-8"?>
<sst xmlns="http://schemas.openxmlformats.org/spreadsheetml/2006/main" count="1516" uniqueCount="935">
  <si>
    <t>Glioblastoma group</t>
  </si>
  <si>
    <t>Patients</t>
  </si>
  <si>
    <t>Samples</t>
  </si>
  <si>
    <t>Patient ID</t>
  </si>
  <si>
    <t>Time 
points</t>
  </si>
  <si>
    <t>Time point 1</t>
  </si>
  <si>
    <t>Time point 2</t>
  </si>
  <si>
    <t>Time point 3</t>
  </si>
  <si>
    <t>Time point 4</t>
  </si>
  <si>
    <t>Time point 5</t>
  </si>
  <si>
    <t>Age</t>
  </si>
  <si>
    <t>Gender</t>
  </si>
  <si>
    <t>Diagnosis</t>
  </si>
  <si>
    <t>Chemotherapy</t>
  </si>
  <si>
    <t>Immunotherapy</t>
  </si>
  <si>
    <t>Remarks</t>
  </si>
  <si>
    <t>P15</t>
  </si>
  <si>
    <t>P15_1</t>
  </si>
  <si>
    <t>P15_2</t>
  </si>
  <si>
    <t>P15_3</t>
  </si>
  <si>
    <t>P15_4</t>
  </si>
  <si>
    <t>P15_5</t>
  </si>
  <si>
    <t>F</t>
  </si>
  <si>
    <t>Glioma</t>
  </si>
  <si>
    <t>after</t>
  </si>
  <si>
    <t>P16</t>
  </si>
  <si>
    <t>P16_1</t>
  </si>
  <si>
    <t>P16_2</t>
  </si>
  <si>
    <t>P16_3</t>
  </si>
  <si>
    <t>N/A</t>
  </si>
  <si>
    <t>P16_5</t>
  </si>
  <si>
    <t>M</t>
  </si>
  <si>
    <t>during, after</t>
  </si>
  <si>
    <t>P22</t>
  </si>
  <si>
    <t>P22_1</t>
  </si>
  <si>
    <t>P22_2</t>
  </si>
  <si>
    <t>P22_3</t>
  </si>
  <si>
    <t>P22_4</t>
  </si>
  <si>
    <t>P22_5</t>
  </si>
  <si>
    <t>Astrocytoma</t>
  </si>
  <si>
    <t>before</t>
  </si>
  <si>
    <t>P29</t>
  </si>
  <si>
    <t>P29_1</t>
  </si>
  <si>
    <t>P29_2</t>
  </si>
  <si>
    <t>P29_3</t>
  </si>
  <si>
    <t>P29_4</t>
  </si>
  <si>
    <t>P29_5</t>
  </si>
  <si>
    <t>Pilocytic Astrocytoma</t>
  </si>
  <si>
    <t>none</t>
  </si>
  <si>
    <t>P46</t>
  </si>
  <si>
    <t>P46_1</t>
  </si>
  <si>
    <t>P46_2</t>
  </si>
  <si>
    <t>P46_3</t>
  </si>
  <si>
    <t>P46_4</t>
  </si>
  <si>
    <t>P46_5</t>
  </si>
  <si>
    <t>Oligodendroglioma</t>
  </si>
  <si>
    <t>Targeted Agents</t>
  </si>
  <si>
    <t>P47</t>
  </si>
  <si>
    <t>P47_1</t>
  </si>
  <si>
    <t>P47_2</t>
  </si>
  <si>
    <t>P47_3</t>
  </si>
  <si>
    <t>P47_4</t>
  </si>
  <si>
    <t>P47_5</t>
  </si>
  <si>
    <t>P51</t>
  </si>
  <si>
    <t>P51_1</t>
  </si>
  <si>
    <t>P51_2</t>
  </si>
  <si>
    <t>P51_3</t>
  </si>
  <si>
    <t>P51_4</t>
  </si>
  <si>
    <t>P51_5</t>
  </si>
  <si>
    <t>P52</t>
  </si>
  <si>
    <t>P52_1</t>
  </si>
  <si>
    <t>P52_2</t>
  </si>
  <si>
    <t>P52_3</t>
  </si>
  <si>
    <t>P52_4</t>
  </si>
  <si>
    <t>P52_5</t>
  </si>
  <si>
    <t>P57</t>
  </si>
  <si>
    <t>P57_1</t>
  </si>
  <si>
    <t>P57_2</t>
  </si>
  <si>
    <t>P57_3</t>
  </si>
  <si>
    <t>P57_4</t>
  </si>
  <si>
    <t>P57_5</t>
  </si>
  <si>
    <t>before, during, after</t>
  </si>
  <si>
    <t>P68</t>
  </si>
  <si>
    <t>P68_1</t>
  </si>
  <si>
    <t>P68_2</t>
  </si>
  <si>
    <t>P68_3</t>
  </si>
  <si>
    <t>P68_4</t>
  </si>
  <si>
    <t>P68_5</t>
  </si>
  <si>
    <t>P84</t>
  </si>
  <si>
    <t>P84_1</t>
  </si>
  <si>
    <t>P84_2</t>
  </si>
  <si>
    <t>P84_3</t>
  </si>
  <si>
    <t>P84_4</t>
  </si>
  <si>
    <t>P84_5</t>
  </si>
  <si>
    <t>P104</t>
  </si>
  <si>
    <t>P104_1</t>
  </si>
  <si>
    <t>P104_2</t>
  </si>
  <si>
    <t>P104_3</t>
  </si>
  <si>
    <t>P104_4</t>
  </si>
  <si>
    <t>P104_5</t>
  </si>
  <si>
    <t>P108</t>
  </si>
  <si>
    <t>P108_1</t>
  </si>
  <si>
    <t>P108_2</t>
  </si>
  <si>
    <t>P108_3</t>
  </si>
  <si>
    <t>P108_4</t>
  </si>
  <si>
    <t>P108_5</t>
  </si>
  <si>
    <t>Glioblastoma</t>
  </si>
  <si>
    <t>P116</t>
  </si>
  <si>
    <t>P116_1</t>
  </si>
  <si>
    <t>P116_2</t>
  </si>
  <si>
    <t>P116_3</t>
  </si>
  <si>
    <t>P116_4</t>
  </si>
  <si>
    <t>P116_5</t>
  </si>
  <si>
    <t>P124</t>
  </si>
  <si>
    <t>P124_1</t>
  </si>
  <si>
    <t>P124_2</t>
  </si>
  <si>
    <t>P124_3</t>
  </si>
  <si>
    <t>P124_4</t>
  </si>
  <si>
    <t>P124_5</t>
  </si>
  <si>
    <t>P132</t>
  </si>
  <si>
    <t>P132_1</t>
  </si>
  <si>
    <t>P132_2</t>
  </si>
  <si>
    <t>P132_3</t>
  </si>
  <si>
    <t>P132_4</t>
  </si>
  <si>
    <t>P132_5</t>
  </si>
  <si>
    <t>P150</t>
  </si>
  <si>
    <t>P150_1</t>
  </si>
  <si>
    <t>P150_2</t>
  </si>
  <si>
    <t>P150_3</t>
  </si>
  <si>
    <t>P150_4</t>
  </si>
  <si>
    <t>P150_5</t>
  </si>
  <si>
    <t>Head and Neck cancer</t>
  </si>
  <si>
    <t>P12</t>
  </si>
  <si>
    <t>P12_1</t>
  </si>
  <si>
    <t>P12_2</t>
  </si>
  <si>
    <t>P12_3</t>
  </si>
  <si>
    <t>P12_4</t>
  </si>
  <si>
    <t>P12_5</t>
  </si>
  <si>
    <t>Neuroblastoma</t>
  </si>
  <si>
    <t>P14</t>
  </si>
  <si>
    <t>P14_1</t>
  </si>
  <si>
    <t>P14_2</t>
  </si>
  <si>
    <t>P14_3</t>
  </si>
  <si>
    <t>P14_4</t>
  </si>
  <si>
    <t>P14_5</t>
  </si>
  <si>
    <t>Lymphoepithelial carcinoma</t>
  </si>
  <si>
    <t xml:space="preserve">before, during </t>
  </si>
  <si>
    <t>P18</t>
  </si>
  <si>
    <t>P18_1</t>
  </si>
  <si>
    <t>P18_2</t>
  </si>
  <si>
    <t>P18_3</t>
  </si>
  <si>
    <t>P18_5</t>
  </si>
  <si>
    <t>Nasal cavity malignant neoplasm</t>
  </si>
  <si>
    <t>P24</t>
  </si>
  <si>
    <t>P24_1</t>
  </si>
  <si>
    <t>P24_2</t>
  </si>
  <si>
    <t>P24_3</t>
  </si>
  <si>
    <t>Sinunasal undifferentiated carcinoma</t>
  </si>
  <si>
    <t>before, during</t>
  </si>
  <si>
    <t>P41</t>
  </si>
  <si>
    <t>P41_1</t>
  </si>
  <si>
    <t>P41_2</t>
  </si>
  <si>
    <t>P41_3</t>
  </si>
  <si>
    <t>P41_4</t>
  </si>
  <si>
    <t>P41_5</t>
  </si>
  <si>
    <t>Acinar cell carcinoma parotid gland</t>
  </si>
  <si>
    <t>P44</t>
  </si>
  <si>
    <t>P44_1</t>
  </si>
  <si>
    <t>P44_2</t>
  </si>
  <si>
    <t>P44_3</t>
  </si>
  <si>
    <t>Squamous cell carcinoma</t>
  </si>
  <si>
    <t>Drop out</t>
  </si>
  <si>
    <t>P50</t>
  </si>
  <si>
    <t>P50_1</t>
  </si>
  <si>
    <t>P50_2</t>
  </si>
  <si>
    <t>P50_3</t>
  </si>
  <si>
    <t>P50_4</t>
  </si>
  <si>
    <t>P55</t>
  </si>
  <si>
    <t>P55_1</t>
  </si>
  <si>
    <t>P55_2</t>
  </si>
  <si>
    <t>P55_3</t>
  </si>
  <si>
    <t>P55_4</t>
  </si>
  <si>
    <t>P55_5</t>
  </si>
  <si>
    <t>P56</t>
  </si>
  <si>
    <t>P56_1</t>
  </si>
  <si>
    <t>P56_2</t>
  </si>
  <si>
    <t>P56_3</t>
  </si>
  <si>
    <t>P56_4</t>
  </si>
  <si>
    <t>P56_5</t>
  </si>
  <si>
    <t>P63</t>
  </si>
  <si>
    <t>P63_1</t>
  </si>
  <si>
    <t>P63_2</t>
  </si>
  <si>
    <t>P63_3</t>
  </si>
  <si>
    <t>P63_4</t>
  </si>
  <si>
    <t>P63_5</t>
  </si>
  <si>
    <t>P67</t>
  </si>
  <si>
    <t>P67_1</t>
  </si>
  <si>
    <t>P67_2</t>
  </si>
  <si>
    <t>P67_3</t>
  </si>
  <si>
    <t>P67_4</t>
  </si>
  <si>
    <t>P67_5</t>
  </si>
  <si>
    <t>Squamous cell; Type Lymphoepithelial carcinoma</t>
  </si>
  <si>
    <t>P72</t>
  </si>
  <si>
    <t>P72_1</t>
  </si>
  <si>
    <t>P72_2</t>
  </si>
  <si>
    <t>P72_3</t>
  </si>
  <si>
    <t>P72_5</t>
  </si>
  <si>
    <t>Malignant neoplasm of parotid gland</t>
  </si>
  <si>
    <t xml:space="preserve">during </t>
  </si>
  <si>
    <t>P77</t>
  </si>
  <si>
    <t>P77_1</t>
  </si>
  <si>
    <t>P77_2</t>
  </si>
  <si>
    <t>P77_3</t>
  </si>
  <si>
    <t>P77_4</t>
  </si>
  <si>
    <t>P77_5</t>
  </si>
  <si>
    <t>Adenocystic carcinoma</t>
  </si>
  <si>
    <t>P78</t>
  </si>
  <si>
    <t>P78_1</t>
  </si>
  <si>
    <t>P78_2</t>
  </si>
  <si>
    <t>P78_3</t>
  </si>
  <si>
    <t>P78_4</t>
  </si>
  <si>
    <t>P78_5</t>
  </si>
  <si>
    <t>P79</t>
  </si>
  <si>
    <t>P79_1</t>
  </si>
  <si>
    <t>P79_3</t>
  </si>
  <si>
    <t>P79_4</t>
  </si>
  <si>
    <t>P79_5</t>
  </si>
  <si>
    <t>Melanoma</t>
  </si>
  <si>
    <t>P94</t>
  </si>
  <si>
    <t>P94_1</t>
  </si>
  <si>
    <t>P94_2</t>
  </si>
  <si>
    <t>P94_3</t>
  </si>
  <si>
    <t>P94_4</t>
  </si>
  <si>
    <t>P94_5</t>
  </si>
  <si>
    <t>Mucoepidermoid carcinoma</t>
  </si>
  <si>
    <t>P98</t>
  </si>
  <si>
    <t>P98_1</t>
  </si>
  <si>
    <t>P98_2</t>
  </si>
  <si>
    <t>P98_3</t>
  </si>
  <si>
    <t>P98_4</t>
  </si>
  <si>
    <t>P98_5</t>
  </si>
  <si>
    <t xml:space="preserve">Carcinoma the sphenoidal sinus </t>
  </si>
  <si>
    <t>P100</t>
  </si>
  <si>
    <t>P100_1</t>
  </si>
  <si>
    <t>P100_2</t>
  </si>
  <si>
    <t>P100_3</t>
  </si>
  <si>
    <t>P100_4</t>
  </si>
  <si>
    <t>P100_5</t>
  </si>
  <si>
    <t>Neuroblastoma Tpye: Esthesioneuroblastoma</t>
  </si>
  <si>
    <t>P106</t>
  </si>
  <si>
    <t>P106_1</t>
  </si>
  <si>
    <t>P106_2</t>
  </si>
  <si>
    <t>P106_3</t>
  </si>
  <si>
    <t>P107</t>
  </si>
  <si>
    <t>P107_1</t>
  </si>
  <si>
    <t>P107_2</t>
  </si>
  <si>
    <t>P107_3</t>
  </si>
  <si>
    <t>P107_4</t>
  </si>
  <si>
    <t>P107_5</t>
  </si>
  <si>
    <t>P110</t>
  </si>
  <si>
    <t>P110_1</t>
  </si>
  <si>
    <t>P110_2</t>
  </si>
  <si>
    <t>P110_3</t>
  </si>
  <si>
    <t>P110_4</t>
  </si>
  <si>
    <t>P110_5</t>
  </si>
  <si>
    <t>Adenoid Cystic Carcinoma</t>
  </si>
  <si>
    <t>P114</t>
  </si>
  <si>
    <t>P114_1</t>
  </si>
  <si>
    <t>P114_2</t>
  </si>
  <si>
    <t>P114_3</t>
  </si>
  <si>
    <t>P114_4</t>
  </si>
  <si>
    <t>P114_5</t>
  </si>
  <si>
    <t>Adenocarcinoma</t>
  </si>
  <si>
    <t>P115</t>
  </si>
  <si>
    <t>P115_1</t>
  </si>
  <si>
    <t>P115_2</t>
  </si>
  <si>
    <t>P115_3</t>
  </si>
  <si>
    <t>P120</t>
  </si>
  <si>
    <t>P120_1</t>
  </si>
  <si>
    <t>P120_2</t>
  </si>
  <si>
    <t>P120_3</t>
  </si>
  <si>
    <t>P120_4</t>
  </si>
  <si>
    <t>P120_5</t>
  </si>
  <si>
    <t>before. During</t>
  </si>
  <si>
    <t>P125</t>
  </si>
  <si>
    <t>P125_1</t>
  </si>
  <si>
    <t>P125_2</t>
  </si>
  <si>
    <t>P125_3</t>
  </si>
  <si>
    <t>P125_4</t>
  </si>
  <si>
    <t>P125_5</t>
  </si>
  <si>
    <t>P129</t>
  </si>
  <si>
    <t>P129_1</t>
  </si>
  <si>
    <t>P129_2</t>
  </si>
  <si>
    <t>P129_3</t>
  </si>
  <si>
    <t>P129_4</t>
  </si>
  <si>
    <t>P129_5</t>
  </si>
  <si>
    <t>P130</t>
  </si>
  <si>
    <t>P130_1</t>
  </si>
  <si>
    <t>P130_2</t>
  </si>
  <si>
    <t>P130_3</t>
  </si>
  <si>
    <t>P130_4</t>
  </si>
  <si>
    <t>P130_5</t>
  </si>
  <si>
    <t>P135</t>
  </si>
  <si>
    <t>P135_1</t>
  </si>
  <si>
    <t>P135_2</t>
  </si>
  <si>
    <t>P135_3</t>
  </si>
  <si>
    <t>P135_4</t>
  </si>
  <si>
    <t>P135_5</t>
  </si>
  <si>
    <t>P137</t>
  </si>
  <si>
    <t>P137_1</t>
  </si>
  <si>
    <t>P137_2</t>
  </si>
  <si>
    <t>P137_3</t>
  </si>
  <si>
    <t>P137_4</t>
  </si>
  <si>
    <t>P142</t>
  </si>
  <si>
    <t>P142_1</t>
  </si>
  <si>
    <t>P142_2</t>
  </si>
  <si>
    <t>P142_3</t>
  </si>
  <si>
    <t>P142_4</t>
  </si>
  <si>
    <t>P142_5</t>
  </si>
  <si>
    <t xml:space="preserve">Adenoidzystisches Karzinom </t>
  </si>
  <si>
    <t>P145</t>
  </si>
  <si>
    <t>P145_1</t>
  </si>
  <si>
    <t>P145_2</t>
  </si>
  <si>
    <t>P145_3</t>
  </si>
  <si>
    <t>P145_4</t>
  </si>
  <si>
    <t>P145_5</t>
  </si>
  <si>
    <t>P147</t>
  </si>
  <si>
    <t>P147_1</t>
  </si>
  <si>
    <t>P147_2</t>
  </si>
  <si>
    <t>P147_3</t>
  </si>
  <si>
    <t>P148</t>
  </si>
  <si>
    <t>P148_1</t>
  </si>
  <si>
    <t>P148_2</t>
  </si>
  <si>
    <t>P148_3</t>
  </si>
  <si>
    <t>P148_4</t>
  </si>
  <si>
    <t>P148_5</t>
  </si>
  <si>
    <t>P149</t>
  </si>
  <si>
    <t>P149_1</t>
  </si>
  <si>
    <t>P149_2</t>
  </si>
  <si>
    <t>P149_3</t>
  </si>
  <si>
    <t>P149_4</t>
  </si>
  <si>
    <t>P149_5</t>
  </si>
  <si>
    <t>defizientes sinonasales Karzinom</t>
  </si>
  <si>
    <t>P154</t>
  </si>
  <si>
    <t>P154_1</t>
  </si>
  <si>
    <t>P154_2</t>
  </si>
  <si>
    <t>P154_3</t>
  </si>
  <si>
    <t>P154_4</t>
  </si>
  <si>
    <t>P154_5</t>
  </si>
  <si>
    <t>P161</t>
  </si>
  <si>
    <t>P161_1</t>
  </si>
  <si>
    <t>P161_2</t>
  </si>
  <si>
    <t>P161_3</t>
  </si>
  <si>
    <t>P161_4</t>
  </si>
  <si>
    <t>P166</t>
  </si>
  <si>
    <t>P166_1</t>
  </si>
  <si>
    <t>P166_2</t>
  </si>
  <si>
    <t>P166_3</t>
  </si>
  <si>
    <t>P166_4</t>
  </si>
  <si>
    <t>P166_5</t>
  </si>
  <si>
    <t>CNS-Meningioma</t>
  </si>
  <si>
    <t>P27</t>
  </si>
  <si>
    <t>P27_1</t>
  </si>
  <si>
    <t>P27_2</t>
  </si>
  <si>
    <t>P27_3</t>
  </si>
  <si>
    <t>Meningioma</t>
  </si>
  <si>
    <t>P33</t>
  </si>
  <si>
    <t>P33_1</t>
  </si>
  <si>
    <t>P33_2</t>
  </si>
  <si>
    <t>P33_3</t>
  </si>
  <si>
    <t>P33_4</t>
  </si>
  <si>
    <t>P33_5</t>
  </si>
  <si>
    <t>P37</t>
  </si>
  <si>
    <t>P37_1</t>
  </si>
  <si>
    <t>P37_2</t>
  </si>
  <si>
    <t>P37_3</t>
  </si>
  <si>
    <t>P38</t>
  </si>
  <si>
    <t>P38_1</t>
  </si>
  <si>
    <t>P38_2</t>
  </si>
  <si>
    <t>P38_3</t>
  </si>
  <si>
    <t>P38_4</t>
  </si>
  <si>
    <t>P38_5</t>
  </si>
  <si>
    <t>P42</t>
  </si>
  <si>
    <t>P42_1</t>
  </si>
  <si>
    <t>P42_2</t>
  </si>
  <si>
    <t>P42_3</t>
  </si>
  <si>
    <t>P42_4</t>
  </si>
  <si>
    <t>P42_5</t>
  </si>
  <si>
    <t>P48</t>
  </si>
  <si>
    <t>P48_1</t>
  </si>
  <si>
    <t>P48_2</t>
  </si>
  <si>
    <t>P48_3</t>
  </si>
  <si>
    <t>P48_4</t>
  </si>
  <si>
    <t>P48_5</t>
  </si>
  <si>
    <t>P59</t>
  </si>
  <si>
    <t>P59_1</t>
  </si>
  <si>
    <t>P59_2</t>
  </si>
  <si>
    <t>P59_3</t>
  </si>
  <si>
    <t>P59_4</t>
  </si>
  <si>
    <t>P59_5</t>
  </si>
  <si>
    <t>P62</t>
  </si>
  <si>
    <t>P62_1</t>
  </si>
  <si>
    <t>P62_2</t>
  </si>
  <si>
    <t>P62_3</t>
  </si>
  <si>
    <t>P62_4</t>
  </si>
  <si>
    <t>P62_5</t>
  </si>
  <si>
    <t>P70</t>
  </si>
  <si>
    <t>P70_1</t>
  </si>
  <si>
    <t>P70_2</t>
  </si>
  <si>
    <t>P70_3</t>
  </si>
  <si>
    <t>P70_4</t>
  </si>
  <si>
    <t>P70_5</t>
  </si>
  <si>
    <t>P83</t>
  </si>
  <si>
    <t>P83_1</t>
  </si>
  <si>
    <t>P83_2</t>
  </si>
  <si>
    <t>P83_3</t>
  </si>
  <si>
    <t>P83_4</t>
  </si>
  <si>
    <t>P83_5</t>
  </si>
  <si>
    <t>P86</t>
  </si>
  <si>
    <t>P86_1</t>
  </si>
  <si>
    <t>P86_2</t>
  </si>
  <si>
    <t>P86_3</t>
  </si>
  <si>
    <t>P86_4</t>
  </si>
  <si>
    <t>P102</t>
  </si>
  <si>
    <t>P102_1</t>
  </si>
  <si>
    <t>P102_2</t>
  </si>
  <si>
    <t>P102_3</t>
  </si>
  <si>
    <t>P102_4</t>
  </si>
  <si>
    <t>P105</t>
  </si>
  <si>
    <t>P105_1</t>
  </si>
  <si>
    <t>P105_2</t>
  </si>
  <si>
    <t>P105_3</t>
  </si>
  <si>
    <t>P105_4</t>
  </si>
  <si>
    <t>P105_5</t>
  </si>
  <si>
    <t>P119</t>
  </si>
  <si>
    <t>P119_1</t>
  </si>
  <si>
    <t>P119_2</t>
  </si>
  <si>
    <t>P119_3</t>
  </si>
  <si>
    <t>P119_4</t>
  </si>
  <si>
    <t>P119_5</t>
  </si>
  <si>
    <t>P128</t>
  </si>
  <si>
    <t>P128_1</t>
  </si>
  <si>
    <t>P128_2</t>
  </si>
  <si>
    <t>P128_3</t>
  </si>
  <si>
    <t>P128_4</t>
  </si>
  <si>
    <t>P128_5</t>
  </si>
  <si>
    <t>P133</t>
  </si>
  <si>
    <t>P133_1</t>
  </si>
  <si>
    <t>P133_2</t>
  </si>
  <si>
    <t>P133_3</t>
  </si>
  <si>
    <t>P133_4</t>
  </si>
  <si>
    <t>P133_5</t>
  </si>
  <si>
    <t>P134</t>
  </si>
  <si>
    <t>P134_1</t>
  </si>
  <si>
    <t>P134_2</t>
  </si>
  <si>
    <t>P134_3</t>
  </si>
  <si>
    <t>P134_4</t>
  </si>
  <si>
    <t>P134_5</t>
  </si>
  <si>
    <t>P157</t>
  </si>
  <si>
    <t>P157_1</t>
  </si>
  <si>
    <t>P157_2</t>
  </si>
  <si>
    <t>P157_3</t>
  </si>
  <si>
    <t>P157_4</t>
  </si>
  <si>
    <t>P157_5</t>
  </si>
  <si>
    <t>P162</t>
  </si>
  <si>
    <t>P162_1</t>
  </si>
  <si>
    <t>P162_2</t>
  </si>
  <si>
    <t>P162_3</t>
  </si>
  <si>
    <t>P162_4</t>
  </si>
  <si>
    <t>P162_5</t>
  </si>
  <si>
    <t>Chordoma/Chondrosarcoma</t>
  </si>
  <si>
    <t>P21</t>
  </si>
  <si>
    <t>P21_1</t>
  </si>
  <si>
    <t>P21_2</t>
  </si>
  <si>
    <t>P21_3</t>
  </si>
  <si>
    <t>P21_5</t>
  </si>
  <si>
    <t>Chordoma</t>
  </si>
  <si>
    <t>P23</t>
  </si>
  <si>
    <t>P23_1</t>
  </si>
  <si>
    <t>P23_2</t>
  </si>
  <si>
    <t>P23_3</t>
  </si>
  <si>
    <t>P23_4</t>
  </si>
  <si>
    <t>P23_5</t>
  </si>
  <si>
    <t>P25</t>
  </si>
  <si>
    <t>P25_1</t>
  </si>
  <si>
    <t>P25_2</t>
  </si>
  <si>
    <t>P25_3</t>
  </si>
  <si>
    <t>P25_4</t>
  </si>
  <si>
    <t>P25_5</t>
  </si>
  <si>
    <t>P43</t>
  </si>
  <si>
    <t>P43_1</t>
  </si>
  <si>
    <t>P43_2</t>
  </si>
  <si>
    <t>P43_3</t>
  </si>
  <si>
    <t>P43_4</t>
  </si>
  <si>
    <t>P43_5</t>
  </si>
  <si>
    <t>P69</t>
  </si>
  <si>
    <t>P69_1</t>
  </si>
  <si>
    <t>P69_2</t>
  </si>
  <si>
    <t>P69_3</t>
  </si>
  <si>
    <t>P69_4</t>
  </si>
  <si>
    <t>P69_5</t>
  </si>
  <si>
    <t>P76</t>
  </si>
  <si>
    <t>P76_1</t>
  </si>
  <si>
    <t>P76_2</t>
  </si>
  <si>
    <t>P76_3</t>
  </si>
  <si>
    <t>P76_5</t>
  </si>
  <si>
    <t>Chondrosarcoma</t>
  </si>
  <si>
    <t>P90</t>
  </si>
  <si>
    <t>P90_1</t>
  </si>
  <si>
    <t>P90_2</t>
  </si>
  <si>
    <t>P90_3</t>
  </si>
  <si>
    <t>P90_4</t>
  </si>
  <si>
    <t>P90_5</t>
  </si>
  <si>
    <t>P92</t>
  </si>
  <si>
    <t>P92_1</t>
  </si>
  <si>
    <t>P92_2</t>
  </si>
  <si>
    <t>P92_3</t>
  </si>
  <si>
    <t>P92_4</t>
  </si>
  <si>
    <t>P92_5</t>
  </si>
  <si>
    <t>P99</t>
  </si>
  <si>
    <t>P99_1</t>
  </si>
  <si>
    <t>P99_2</t>
  </si>
  <si>
    <t>P99_3</t>
  </si>
  <si>
    <t>P99_4</t>
  </si>
  <si>
    <t>P99_5</t>
  </si>
  <si>
    <t>P112</t>
  </si>
  <si>
    <t>P112_1</t>
  </si>
  <si>
    <t>P112_2</t>
  </si>
  <si>
    <t>P112_3</t>
  </si>
  <si>
    <t>P112_4</t>
  </si>
  <si>
    <t>P112_5</t>
  </si>
  <si>
    <t>P118</t>
  </si>
  <si>
    <t>P118_1</t>
  </si>
  <si>
    <t>P118_2</t>
  </si>
  <si>
    <t>P118_3</t>
  </si>
  <si>
    <t>P118_4</t>
  </si>
  <si>
    <t>P118_5</t>
  </si>
  <si>
    <t>P126</t>
  </si>
  <si>
    <t>P126_1</t>
  </si>
  <si>
    <t>P126_2</t>
  </si>
  <si>
    <t>P126_3</t>
  </si>
  <si>
    <t>P126_4</t>
  </si>
  <si>
    <t>P131</t>
  </si>
  <si>
    <t>P131_1</t>
  </si>
  <si>
    <t>P131_2</t>
  </si>
  <si>
    <t>P131_3</t>
  </si>
  <si>
    <t>P131_4</t>
  </si>
  <si>
    <t>P131_5</t>
  </si>
  <si>
    <t>P138</t>
  </si>
  <si>
    <t>P138_1</t>
  </si>
  <si>
    <t>P138_2</t>
  </si>
  <si>
    <t>P138_3</t>
  </si>
  <si>
    <t>P138_4</t>
  </si>
  <si>
    <t>P138_5</t>
  </si>
  <si>
    <t>P143</t>
  </si>
  <si>
    <t>P143_1</t>
  </si>
  <si>
    <t>P143_2</t>
  </si>
  <si>
    <t>P143_3</t>
  </si>
  <si>
    <t>P143_4</t>
  </si>
  <si>
    <t>P143_5</t>
  </si>
  <si>
    <t>P144</t>
  </si>
  <si>
    <t>P144_1</t>
  </si>
  <si>
    <t>P144_2</t>
  </si>
  <si>
    <t>P144_3</t>
  </si>
  <si>
    <t>P144_4</t>
  </si>
  <si>
    <t>P152</t>
  </si>
  <si>
    <t>P152_1</t>
  </si>
  <si>
    <t>P152_2</t>
  </si>
  <si>
    <t>P152_3</t>
  </si>
  <si>
    <t>P152_4</t>
  </si>
  <si>
    <t>P152_5</t>
  </si>
  <si>
    <t>P155</t>
  </si>
  <si>
    <t>P155_1</t>
  </si>
  <si>
    <t>P155_2</t>
  </si>
  <si>
    <t>P155_3</t>
  </si>
  <si>
    <t>P160</t>
  </si>
  <si>
    <t>P160_1</t>
  </si>
  <si>
    <t>P160_2</t>
  </si>
  <si>
    <t>P160_3</t>
  </si>
  <si>
    <t>P160_5</t>
  </si>
  <si>
    <t>Chordom</t>
  </si>
  <si>
    <t>P163</t>
  </si>
  <si>
    <t>P163_1</t>
  </si>
  <si>
    <t>P163_2</t>
  </si>
  <si>
    <t>P163_3</t>
  </si>
  <si>
    <t>P163_4</t>
  </si>
  <si>
    <t>P165</t>
  </si>
  <si>
    <t>P165_1</t>
  </si>
  <si>
    <t>P165_2</t>
  </si>
  <si>
    <t>P165_3</t>
  </si>
  <si>
    <t>P165_4</t>
  </si>
  <si>
    <t>P165_5</t>
  </si>
  <si>
    <t>Cordoma</t>
  </si>
  <si>
    <t>CNS-other</t>
  </si>
  <si>
    <t>P20</t>
  </si>
  <si>
    <t>P20_1</t>
  </si>
  <si>
    <t>P20_2</t>
  </si>
  <si>
    <t>P20_3</t>
  </si>
  <si>
    <t>P20_5</t>
  </si>
  <si>
    <t>Hemangiopericytoma</t>
  </si>
  <si>
    <t>P28</t>
  </si>
  <si>
    <t>P28_1</t>
  </si>
  <si>
    <t>P28_2</t>
  </si>
  <si>
    <t>P28_3</t>
  </si>
  <si>
    <t>P28_4</t>
  </si>
  <si>
    <t>P28_5</t>
  </si>
  <si>
    <t>Carniopharyngioma</t>
  </si>
  <si>
    <t>P60</t>
  </si>
  <si>
    <t>P60_1</t>
  </si>
  <si>
    <t>P60_2</t>
  </si>
  <si>
    <t>P60_3</t>
  </si>
  <si>
    <t>P60_4</t>
  </si>
  <si>
    <t>P60_5</t>
  </si>
  <si>
    <t>P66</t>
  </si>
  <si>
    <t>P66_1</t>
  </si>
  <si>
    <t>P66_2</t>
  </si>
  <si>
    <t>P66_3</t>
  </si>
  <si>
    <t>P66_4</t>
  </si>
  <si>
    <t>Neuroepithelioma Type: Atypical teratoid/rhabdoid tumor</t>
  </si>
  <si>
    <t>P75</t>
  </si>
  <si>
    <t>P75_1</t>
  </si>
  <si>
    <t>P75_2</t>
  </si>
  <si>
    <t>P75_3</t>
  </si>
  <si>
    <t>P75_4</t>
  </si>
  <si>
    <t>P75_5</t>
  </si>
  <si>
    <t>Central Neurocytoma</t>
  </si>
  <si>
    <t>P87</t>
  </si>
  <si>
    <t>P87_1</t>
  </si>
  <si>
    <t>P87_2</t>
  </si>
  <si>
    <t>P87_3</t>
  </si>
  <si>
    <t>P87_4</t>
  </si>
  <si>
    <t>P87_5</t>
  </si>
  <si>
    <t>(DD Pineoblastom oder Keimzelltumor)</t>
  </si>
  <si>
    <t xml:space="preserve">before </t>
  </si>
  <si>
    <t>P91</t>
  </si>
  <si>
    <t>P91_1</t>
  </si>
  <si>
    <t>P91_2</t>
  </si>
  <si>
    <t>P91_3</t>
  </si>
  <si>
    <t>P91_4</t>
  </si>
  <si>
    <t>P91_5</t>
  </si>
  <si>
    <t>P96</t>
  </si>
  <si>
    <t>P96_1</t>
  </si>
  <si>
    <t>P96_2</t>
  </si>
  <si>
    <t>P96_3</t>
  </si>
  <si>
    <t>P96_4</t>
  </si>
  <si>
    <t>P96_5</t>
  </si>
  <si>
    <t>Pineoblastoma</t>
  </si>
  <si>
    <t>P111</t>
  </si>
  <si>
    <t>P111_1</t>
  </si>
  <si>
    <t>P111_2</t>
  </si>
  <si>
    <t>P111_3</t>
  </si>
  <si>
    <t>P111_4</t>
  </si>
  <si>
    <t>P111_5</t>
  </si>
  <si>
    <t>Malignant Teratoma</t>
  </si>
  <si>
    <t>before, after</t>
  </si>
  <si>
    <t>P113</t>
  </si>
  <si>
    <t>P113_1</t>
  </si>
  <si>
    <t>P113_2</t>
  </si>
  <si>
    <t>P113_3</t>
  </si>
  <si>
    <t>P113_5</t>
  </si>
  <si>
    <t>Neuroepithelioma Type: Central neurocytoma</t>
  </si>
  <si>
    <t>P123</t>
  </si>
  <si>
    <t>P123_1</t>
  </si>
  <si>
    <t>P123_2</t>
  </si>
  <si>
    <t>P123_3</t>
  </si>
  <si>
    <t>P123_4</t>
  </si>
  <si>
    <t>P123_5</t>
  </si>
  <si>
    <t>Craniopharyngioma</t>
  </si>
  <si>
    <t>P127</t>
  </si>
  <si>
    <t>P127_1</t>
  </si>
  <si>
    <t>P127_2</t>
  </si>
  <si>
    <t>P127_3</t>
  </si>
  <si>
    <t>P127_4</t>
  </si>
  <si>
    <t>P127_5</t>
  </si>
  <si>
    <t>Seminoma</t>
  </si>
  <si>
    <t>Sarcoma-Ewing</t>
  </si>
  <si>
    <t>P26</t>
  </si>
  <si>
    <t>P26_1</t>
  </si>
  <si>
    <t>P26_2</t>
  </si>
  <si>
    <t>P26_3</t>
  </si>
  <si>
    <t>P26_5</t>
  </si>
  <si>
    <t>Ewing's Sarcoma</t>
  </si>
  <si>
    <t>P34</t>
  </si>
  <si>
    <t>DO</t>
  </si>
  <si>
    <t>P34_1</t>
  </si>
  <si>
    <t>P34_2</t>
  </si>
  <si>
    <t>P85</t>
  </si>
  <si>
    <t>P85_1</t>
  </si>
  <si>
    <t>P85_2</t>
  </si>
  <si>
    <t>P85_3</t>
  </si>
  <si>
    <t>P85_4</t>
  </si>
  <si>
    <t>P85_5</t>
  </si>
  <si>
    <t>P97</t>
  </si>
  <si>
    <t>P97_1</t>
  </si>
  <si>
    <t>P97_2</t>
  </si>
  <si>
    <t>P97_3</t>
  </si>
  <si>
    <t>P97_4</t>
  </si>
  <si>
    <t>P97_5</t>
  </si>
  <si>
    <t>Ewing's Sarkoma</t>
  </si>
  <si>
    <t>P103</t>
  </si>
  <si>
    <t>P103_1</t>
  </si>
  <si>
    <t>P103_2</t>
  </si>
  <si>
    <t>P103_3</t>
  </si>
  <si>
    <t>P140</t>
  </si>
  <si>
    <t>P140_1</t>
  </si>
  <si>
    <t>P140_2</t>
  </si>
  <si>
    <t>P140_3</t>
  </si>
  <si>
    <t>P140_4</t>
  </si>
  <si>
    <t>P140_5</t>
  </si>
  <si>
    <t>Ewing's-Sarkoma</t>
  </si>
  <si>
    <t>P146</t>
  </si>
  <si>
    <t>P146_1</t>
  </si>
  <si>
    <t>P146_2</t>
  </si>
  <si>
    <t>P146_3</t>
  </si>
  <si>
    <t>P146_4</t>
  </si>
  <si>
    <t>P159</t>
  </si>
  <si>
    <t>P159_1</t>
  </si>
  <si>
    <t>P159_2</t>
  </si>
  <si>
    <t>P159_3</t>
  </si>
  <si>
    <t>P159_4</t>
  </si>
  <si>
    <t>P159_5</t>
  </si>
  <si>
    <t>Lymphoma</t>
  </si>
  <si>
    <t>P13</t>
  </si>
  <si>
    <t>P13_1</t>
  </si>
  <si>
    <t>P13_2</t>
  </si>
  <si>
    <t>P13_3</t>
  </si>
  <si>
    <t>P13_4</t>
  </si>
  <si>
    <t>P13_5</t>
  </si>
  <si>
    <t xml:space="preserve">Hodgkin's disease </t>
  </si>
  <si>
    <t>P17</t>
  </si>
  <si>
    <t>P17_1</t>
  </si>
  <si>
    <t>P17_2</t>
  </si>
  <si>
    <t>P17_3</t>
  </si>
  <si>
    <t>P32</t>
  </si>
  <si>
    <t>P32_1</t>
  </si>
  <si>
    <t>P32_2</t>
  </si>
  <si>
    <t>P32_3</t>
  </si>
  <si>
    <t>MALT Lymphoma</t>
  </si>
  <si>
    <t>P36</t>
  </si>
  <si>
    <t>P36_1</t>
  </si>
  <si>
    <t>P36_3</t>
  </si>
  <si>
    <t>P36_4</t>
  </si>
  <si>
    <t>P36_5</t>
  </si>
  <si>
    <t>P58</t>
  </si>
  <si>
    <t>P58_1</t>
  </si>
  <si>
    <t>P58_2</t>
  </si>
  <si>
    <t>P58_3</t>
  </si>
  <si>
    <t>P58_4</t>
  </si>
  <si>
    <t>P58_5</t>
  </si>
  <si>
    <t>Lymphoma, Type Immunoblastic sarcoma</t>
  </si>
  <si>
    <t>P65</t>
  </si>
  <si>
    <t>P65_1</t>
  </si>
  <si>
    <t>P65_3</t>
  </si>
  <si>
    <t>P65_5</t>
  </si>
  <si>
    <t>Hodgkin's Lymphoma</t>
  </si>
  <si>
    <t>P109</t>
  </si>
  <si>
    <t>P109_1</t>
  </si>
  <si>
    <t>P109_3</t>
  </si>
  <si>
    <t>P109_4</t>
  </si>
  <si>
    <t>P109_5</t>
  </si>
  <si>
    <t>CNS-Ependymoma</t>
  </si>
  <si>
    <t>P71</t>
  </si>
  <si>
    <t>P71_1</t>
  </si>
  <si>
    <t>P71_3</t>
  </si>
  <si>
    <t>Ependymoma</t>
  </si>
  <si>
    <t>P73</t>
  </si>
  <si>
    <t>P73_1</t>
  </si>
  <si>
    <t>P73_2</t>
  </si>
  <si>
    <t>P73_3</t>
  </si>
  <si>
    <t>P73_4</t>
  </si>
  <si>
    <t>P73_5</t>
  </si>
  <si>
    <t>P80</t>
  </si>
  <si>
    <t>P80_1</t>
  </si>
  <si>
    <t>P80_2</t>
  </si>
  <si>
    <t>P80_3</t>
  </si>
  <si>
    <t>P80_4</t>
  </si>
  <si>
    <t>P80_5</t>
  </si>
  <si>
    <t>P82</t>
  </si>
  <si>
    <t>P82_1</t>
  </si>
  <si>
    <t>P82_2</t>
  </si>
  <si>
    <t>P82_3</t>
  </si>
  <si>
    <t>P82_5</t>
  </si>
  <si>
    <t>P89</t>
  </si>
  <si>
    <t>P89_1</t>
  </si>
  <si>
    <t>P89_2</t>
  </si>
  <si>
    <t>P89_3</t>
  </si>
  <si>
    <t>P89_4</t>
  </si>
  <si>
    <t>P89_5</t>
  </si>
  <si>
    <t>P95</t>
  </si>
  <si>
    <t>P95_1</t>
  </si>
  <si>
    <t>P95_2</t>
  </si>
  <si>
    <t>P95_3</t>
  </si>
  <si>
    <t>P95_4</t>
  </si>
  <si>
    <t>P95_5</t>
  </si>
  <si>
    <t>P164</t>
  </si>
  <si>
    <t>P164_1</t>
  </si>
  <si>
    <t>P164_2</t>
  </si>
  <si>
    <t>P164_3</t>
  </si>
  <si>
    <t>P164_4</t>
  </si>
  <si>
    <t>P164_5</t>
  </si>
  <si>
    <t>CNS-Medulloblastoma</t>
  </si>
  <si>
    <t>P19</t>
  </si>
  <si>
    <t>P19_1</t>
  </si>
  <si>
    <t>P19_2</t>
  </si>
  <si>
    <t>P19_3</t>
  </si>
  <si>
    <t>P19_4</t>
  </si>
  <si>
    <t>P19_5</t>
  </si>
  <si>
    <t>P30</t>
  </si>
  <si>
    <t>P30_1</t>
  </si>
  <si>
    <t>P30_2</t>
  </si>
  <si>
    <t>P30_3</t>
  </si>
  <si>
    <t>P30_4</t>
  </si>
  <si>
    <t>P30_5</t>
  </si>
  <si>
    <t>P35</t>
  </si>
  <si>
    <t>P35_1</t>
  </si>
  <si>
    <t>P35_2</t>
  </si>
  <si>
    <t>P35_3</t>
  </si>
  <si>
    <t>P35_4</t>
  </si>
  <si>
    <t>P53</t>
  </si>
  <si>
    <t>P53_1</t>
  </si>
  <si>
    <t>P53_2</t>
  </si>
  <si>
    <t>P53_3</t>
  </si>
  <si>
    <t>P53_4</t>
  </si>
  <si>
    <t>P53_5</t>
  </si>
  <si>
    <t>P54</t>
  </si>
  <si>
    <t>P54_1</t>
  </si>
  <si>
    <t>P54_2</t>
  </si>
  <si>
    <t>P54_3</t>
  </si>
  <si>
    <t>P54_4</t>
  </si>
  <si>
    <t>P158</t>
  </si>
  <si>
    <t>P158_1</t>
  </si>
  <si>
    <t>P158_2</t>
  </si>
  <si>
    <t>P158_3</t>
  </si>
  <si>
    <t>P158_4</t>
  </si>
  <si>
    <t>P158_5</t>
  </si>
  <si>
    <t>during</t>
  </si>
  <si>
    <t>P167</t>
  </si>
  <si>
    <t>P167_1</t>
  </si>
  <si>
    <t>P167_2</t>
  </si>
  <si>
    <t>P167_3</t>
  </si>
  <si>
    <t>Sarcoma-Rhabdomyosarcoma</t>
  </si>
  <si>
    <t>P11</t>
  </si>
  <si>
    <t>P11_1</t>
  </si>
  <si>
    <t>P11_2</t>
  </si>
  <si>
    <t>P11_3</t>
  </si>
  <si>
    <t>P11_4</t>
  </si>
  <si>
    <t>P11_5</t>
  </si>
  <si>
    <t xml:space="preserve">F </t>
  </si>
  <si>
    <t>Embryonal Rhabdomyosarcoma</t>
  </si>
  <si>
    <t>P74</t>
  </si>
  <si>
    <t>P74_1</t>
  </si>
  <si>
    <t>P74_2</t>
  </si>
  <si>
    <t>P74_3</t>
  </si>
  <si>
    <t>P74_4</t>
  </si>
  <si>
    <t>P74_5</t>
  </si>
  <si>
    <t xml:space="preserve">M </t>
  </si>
  <si>
    <t>Rhabdomyosarcoma</t>
  </si>
  <si>
    <t>P139</t>
  </si>
  <si>
    <t>P139_1</t>
  </si>
  <si>
    <t>P139_2</t>
  </si>
  <si>
    <t>P139_3</t>
  </si>
  <si>
    <t>P139_4</t>
  </si>
  <si>
    <t>P139_5</t>
  </si>
  <si>
    <t>P151</t>
  </si>
  <si>
    <t>P151_1</t>
  </si>
  <si>
    <t>P151_2</t>
  </si>
  <si>
    <t>P151_3</t>
  </si>
  <si>
    <t>P151_4</t>
  </si>
  <si>
    <t>P151_5</t>
  </si>
  <si>
    <t>Sarcoma-other</t>
  </si>
  <si>
    <t>P45</t>
  </si>
  <si>
    <t>P45_1</t>
  </si>
  <si>
    <t>P45_2</t>
  </si>
  <si>
    <t>P45_3</t>
  </si>
  <si>
    <t>P45_4</t>
  </si>
  <si>
    <t>P45_5</t>
  </si>
  <si>
    <t>Fibrosarcoma</t>
  </si>
  <si>
    <t>P117</t>
  </si>
  <si>
    <t>P117_1</t>
  </si>
  <si>
    <t>P117_3</t>
  </si>
  <si>
    <t>P117_4</t>
  </si>
  <si>
    <t>P117_5</t>
  </si>
  <si>
    <t>Nephroplastoma</t>
  </si>
  <si>
    <t>P136</t>
  </si>
  <si>
    <t>P136_1</t>
  </si>
  <si>
    <t>P136_2</t>
  </si>
  <si>
    <t>P136_3</t>
  </si>
  <si>
    <t>P136_5</t>
  </si>
  <si>
    <t>Sarcoma-Neuroblastoma</t>
  </si>
  <si>
    <t>P49</t>
  </si>
  <si>
    <t>P49_1</t>
  </si>
  <si>
    <t>P49_3</t>
  </si>
  <si>
    <t>P49_5</t>
  </si>
  <si>
    <t>P61</t>
  </si>
  <si>
    <t>P61_1</t>
  </si>
  <si>
    <t>P61_3</t>
  </si>
  <si>
    <t>P61_4</t>
  </si>
  <si>
    <t>P61_5</t>
  </si>
  <si>
    <t>Other</t>
  </si>
  <si>
    <t>P39</t>
  </si>
  <si>
    <t>P39_1</t>
  </si>
  <si>
    <t>P39_2</t>
  </si>
  <si>
    <t>P39_3</t>
  </si>
  <si>
    <t>P39_4</t>
  </si>
  <si>
    <t>P39_5</t>
  </si>
  <si>
    <t>Schwannoma</t>
  </si>
  <si>
    <t>P40</t>
  </si>
  <si>
    <t>P40_1</t>
  </si>
  <si>
    <t>P40_2</t>
  </si>
  <si>
    <t>P40_3</t>
  </si>
  <si>
    <t>P40_4</t>
  </si>
  <si>
    <t>P40_5</t>
  </si>
  <si>
    <t>Desmoid fibromatosis</t>
  </si>
  <si>
    <t>P64</t>
  </si>
  <si>
    <t>P64_1</t>
  </si>
  <si>
    <t>P64_2</t>
  </si>
  <si>
    <t>P64_3</t>
  </si>
  <si>
    <t>P64_4</t>
  </si>
  <si>
    <t>P64_5</t>
  </si>
  <si>
    <t>Benign Paraganglioma</t>
  </si>
  <si>
    <t>P88</t>
  </si>
  <si>
    <t>P88_1</t>
  </si>
  <si>
    <t>Patient deceased</t>
  </si>
  <si>
    <t>P121</t>
  </si>
  <si>
    <t>P121_1</t>
  </si>
  <si>
    <t>P121_2</t>
  </si>
  <si>
    <t>P121_3</t>
  </si>
  <si>
    <t>P121_4</t>
  </si>
  <si>
    <t>P121_5</t>
  </si>
  <si>
    <t>P156</t>
  </si>
  <si>
    <t>P156_1</t>
  </si>
  <si>
    <t>P156_2</t>
  </si>
  <si>
    <t>P156_3</t>
  </si>
  <si>
    <t>P156_4</t>
  </si>
  <si>
    <t>P156_5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</si>
</sst>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/>
    </xf>
  </cellXfs>
  <cellStyles count="1">
    <cellStyle name="Normal" xfId="0" builtinId="0"/>
  </cellStyles>
  <dxfs count="57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5202-01B8-AB4C-BB55-A8C3273ED64B}">
  <dimension ref="A1:M21"/>
  <sheetViews>
    <sheetView workbookViewId="0">
      <selection activeCell="G52" sqref="G52"/>
    </sheetView>
  </sheetViews>
  <sheetFormatPr baseColWidth="10" defaultRowHeight="16" x14ac:dyDescent="0.2"/>
  <cols>
    <col min="10" max="10" width="21.6640625" customWidth="1"/>
    <col min="11" max="11" width="19.33203125" customWidth="1"/>
    <col min="12" max="12" width="17.83203125" customWidth="1"/>
    <col min="13" max="13" width="18" customWidth="1"/>
  </cols>
  <sheetData>
    <row r="1" spans="1:13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</row>
    <row r="2" spans="1:13" x14ac:dyDescent="0.2">
      <c r="A2" s="1" t="s">
        <v>1</v>
      </c>
      <c r="B2" s="1">
        <f>COUNTA(A5:A21)</f>
        <v>17</v>
      </c>
      <c r="C2" s="1"/>
      <c r="D2" s="1" t="s">
        <v>2</v>
      </c>
      <c r="E2" s="1">
        <f>COUNTA(C5:G21)-COUNTIFS(C5:G21,"=N/A")</f>
        <v>84</v>
      </c>
      <c r="F2" s="1"/>
      <c r="G2" s="1"/>
      <c r="H2" s="1"/>
      <c r="I2" s="1"/>
      <c r="J2" s="2"/>
      <c r="K2" s="2"/>
      <c r="L2" s="2"/>
      <c r="M2" s="2"/>
    </row>
    <row r="3" spans="1:1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5" t="s">
        <v>13</v>
      </c>
      <c r="L4" s="6" t="s">
        <v>14</v>
      </c>
      <c r="M4" s="5" t="s">
        <v>15</v>
      </c>
    </row>
    <row r="5" spans="1:13" x14ac:dyDescent="0.2">
      <c r="A5" s="7" t="s">
        <v>16</v>
      </c>
      <c r="B5" s="7">
        <v>5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7">
        <v>37</v>
      </c>
      <c r="I5" s="7" t="s">
        <v>22</v>
      </c>
      <c r="J5" s="7" t="s">
        <v>23</v>
      </c>
      <c r="K5" s="7" t="s">
        <v>24</v>
      </c>
      <c r="L5" s="9"/>
      <c r="M5" s="9"/>
    </row>
    <row r="6" spans="1:13" x14ac:dyDescent="0.2">
      <c r="A6" s="7" t="s">
        <v>25</v>
      </c>
      <c r="B6" s="7">
        <v>4</v>
      </c>
      <c r="C6" s="8" t="s">
        <v>26</v>
      </c>
      <c r="D6" s="8" t="s">
        <v>27</v>
      </c>
      <c r="E6" s="8" t="s">
        <v>28</v>
      </c>
      <c r="F6" s="7" t="s">
        <v>29</v>
      </c>
      <c r="G6" s="8" t="s">
        <v>30</v>
      </c>
      <c r="H6" s="7">
        <v>17</v>
      </c>
      <c r="I6" s="7" t="s">
        <v>31</v>
      </c>
      <c r="J6" s="7" t="s">
        <v>23</v>
      </c>
      <c r="K6" s="7" t="s">
        <v>32</v>
      </c>
      <c r="L6" s="9"/>
      <c r="M6" s="9"/>
    </row>
    <row r="7" spans="1:13" x14ac:dyDescent="0.2">
      <c r="A7" s="7" t="s">
        <v>33</v>
      </c>
      <c r="B7" s="7">
        <v>5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38</v>
      </c>
      <c r="H7" s="7">
        <v>38</v>
      </c>
      <c r="I7" s="7" t="s">
        <v>31</v>
      </c>
      <c r="J7" s="7" t="s">
        <v>39</v>
      </c>
      <c r="K7" s="7" t="s">
        <v>40</v>
      </c>
      <c r="L7" s="9"/>
      <c r="M7" s="9"/>
    </row>
    <row r="8" spans="1:13" x14ac:dyDescent="0.2">
      <c r="A8" s="7" t="s">
        <v>41</v>
      </c>
      <c r="B8" s="7">
        <v>5</v>
      </c>
      <c r="C8" s="8" t="s">
        <v>42</v>
      </c>
      <c r="D8" s="8" t="s">
        <v>43</v>
      </c>
      <c r="E8" s="8" t="s">
        <v>44</v>
      </c>
      <c r="F8" s="8" t="s">
        <v>45</v>
      </c>
      <c r="G8" s="8" t="s">
        <v>46</v>
      </c>
      <c r="H8" s="7">
        <v>46</v>
      </c>
      <c r="I8" s="7" t="s">
        <v>31</v>
      </c>
      <c r="J8" s="7" t="s">
        <v>47</v>
      </c>
      <c r="K8" s="7" t="s">
        <v>48</v>
      </c>
      <c r="L8" s="9"/>
      <c r="M8" s="9"/>
    </row>
    <row r="9" spans="1:13" x14ac:dyDescent="0.2">
      <c r="A9" s="7" t="s">
        <v>49</v>
      </c>
      <c r="B9" s="7">
        <v>5</v>
      </c>
      <c r="C9" s="8" t="s">
        <v>50</v>
      </c>
      <c r="D9" s="8" t="s">
        <v>51</v>
      </c>
      <c r="E9" s="8" t="s">
        <v>52</v>
      </c>
      <c r="F9" s="8" t="s">
        <v>53</v>
      </c>
      <c r="G9" s="8" t="s">
        <v>54</v>
      </c>
      <c r="H9" s="7">
        <v>42</v>
      </c>
      <c r="I9" s="7" t="s">
        <v>22</v>
      </c>
      <c r="J9" s="7" t="s">
        <v>55</v>
      </c>
      <c r="K9" s="7" t="s">
        <v>48</v>
      </c>
      <c r="L9" s="9"/>
      <c r="M9" s="9" t="s">
        <v>56</v>
      </c>
    </row>
    <row r="10" spans="1:13" x14ac:dyDescent="0.2">
      <c r="A10" s="7" t="s">
        <v>57</v>
      </c>
      <c r="B10" s="7">
        <v>5</v>
      </c>
      <c r="C10" s="8" t="s">
        <v>58</v>
      </c>
      <c r="D10" s="8" t="s">
        <v>59</v>
      </c>
      <c r="E10" s="8" t="s">
        <v>60</v>
      </c>
      <c r="F10" s="8" t="s">
        <v>61</v>
      </c>
      <c r="G10" s="8" t="s">
        <v>62</v>
      </c>
      <c r="H10" s="7">
        <v>38</v>
      </c>
      <c r="I10" s="7" t="s">
        <v>22</v>
      </c>
      <c r="J10" s="7" t="s">
        <v>39</v>
      </c>
      <c r="K10" s="7" t="s">
        <v>48</v>
      </c>
      <c r="L10" s="9"/>
      <c r="M10" s="9"/>
    </row>
    <row r="11" spans="1:13" x14ac:dyDescent="0.2">
      <c r="A11" s="7" t="s">
        <v>63</v>
      </c>
      <c r="B11" s="7">
        <v>5</v>
      </c>
      <c r="C11" s="8" t="s">
        <v>64</v>
      </c>
      <c r="D11" s="8" t="s">
        <v>65</v>
      </c>
      <c r="E11" s="8" t="s">
        <v>66</v>
      </c>
      <c r="F11" s="8" t="s">
        <v>67</v>
      </c>
      <c r="G11" s="8" t="s">
        <v>68</v>
      </c>
      <c r="H11" s="7">
        <v>3</v>
      </c>
      <c r="I11" s="7" t="s">
        <v>31</v>
      </c>
      <c r="J11" s="7" t="s">
        <v>23</v>
      </c>
      <c r="K11" s="7" t="s">
        <v>32</v>
      </c>
      <c r="L11" s="9"/>
      <c r="M11" s="9"/>
    </row>
    <row r="12" spans="1:13" x14ac:dyDescent="0.2">
      <c r="A12" s="7" t="s">
        <v>69</v>
      </c>
      <c r="B12" s="7">
        <v>5</v>
      </c>
      <c r="C12" s="8" t="s">
        <v>70</v>
      </c>
      <c r="D12" s="8" t="s">
        <v>71</v>
      </c>
      <c r="E12" s="8" t="s">
        <v>72</v>
      </c>
      <c r="F12" s="8" t="s">
        <v>73</v>
      </c>
      <c r="G12" s="8" t="s">
        <v>74</v>
      </c>
      <c r="H12" s="7">
        <v>19</v>
      </c>
      <c r="I12" s="7" t="s">
        <v>22</v>
      </c>
      <c r="J12" s="7" t="s">
        <v>23</v>
      </c>
      <c r="K12" s="7" t="s">
        <v>48</v>
      </c>
      <c r="L12" s="9"/>
      <c r="M12" s="9"/>
    </row>
    <row r="13" spans="1:13" x14ac:dyDescent="0.2">
      <c r="A13" s="7" t="s">
        <v>75</v>
      </c>
      <c r="B13" s="7">
        <v>5</v>
      </c>
      <c r="C13" s="8" t="s">
        <v>76</v>
      </c>
      <c r="D13" s="8" t="s">
        <v>77</v>
      </c>
      <c r="E13" s="8" t="s">
        <v>78</v>
      </c>
      <c r="F13" s="8" t="s">
        <v>79</v>
      </c>
      <c r="G13" s="8" t="s">
        <v>80</v>
      </c>
      <c r="H13" s="7">
        <v>41</v>
      </c>
      <c r="I13" s="7" t="s">
        <v>31</v>
      </c>
      <c r="J13" s="7" t="s">
        <v>39</v>
      </c>
      <c r="K13" s="7" t="s">
        <v>81</v>
      </c>
      <c r="L13" s="9"/>
      <c r="M13" s="9"/>
    </row>
    <row r="14" spans="1:13" x14ac:dyDescent="0.2">
      <c r="A14" s="7" t="s">
        <v>82</v>
      </c>
      <c r="B14" s="7">
        <v>5</v>
      </c>
      <c r="C14" s="8" t="s">
        <v>83</v>
      </c>
      <c r="D14" s="8" t="s">
        <v>84</v>
      </c>
      <c r="E14" s="8" t="s">
        <v>85</v>
      </c>
      <c r="F14" s="8" t="s">
        <v>86</v>
      </c>
      <c r="G14" s="8" t="s">
        <v>87</v>
      </c>
      <c r="H14" s="7">
        <v>25</v>
      </c>
      <c r="I14" s="7" t="s">
        <v>31</v>
      </c>
      <c r="J14" s="7" t="s">
        <v>55</v>
      </c>
      <c r="K14" s="7" t="s">
        <v>24</v>
      </c>
      <c r="L14" s="9"/>
      <c r="M14" s="9"/>
    </row>
    <row r="15" spans="1:13" x14ac:dyDescent="0.2">
      <c r="A15" s="7" t="s">
        <v>88</v>
      </c>
      <c r="B15" s="7">
        <v>5</v>
      </c>
      <c r="C15" s="8" t="s">
        <v>89</v>
      </c>
      <c r="D15" s="8" t="s">
        <v>90</v>
      </c>
      <c r="E15" s="8" t="s">
        <v>91</v>
      </c>
      <c r="F15" s="8" t="s">
        <v>92</v>
      </c>
      <c r="G15" s="8" t="s">
        <v>93</v>
      </c>
      <c r="H15" s="7">
        <v>27</v>
      </c>
      <c r="I15" s="7" t="s">
        <v>22</v>
      </c>
      <c r="J15" s="7" t="s">
        <v>55</v>
      </c>
      <c r="K15" s="7" t="s">
        <v>24</v>
      </c>
      <c r="L15" s="9"/>
      <c r="M15" s="9"/>
    </row>
    <row r="16" spans="1:13" x14ac:dyDescent="0.2">
      <c r="A16" s="7" t="s">
        <v>94</v>
      </c>
      <c r="B16" s="7">
        <v>5</v>
      </c>
      <c r="C16" s="8" t="s">
        <v>95</v>
      </c>
      <c r="D16" s="8" t="s">
        <v>96</v>
      </c>
      <c r="E16" s="8" t="s">
        <v>97</v>
      </c>
      <c r="F16" s="8" t="s">
        <v>98</v>
      </c>
      <c r="G16" s="8" t="s">
        <v>99</v>
      </c>
      <c r="H16" s="7">
        <v>22</v>
      </c>
      <c r="I16" s="7" t="s">
        <v>31</v>
      </c>
      <c r="J16" s="7" t="s">
        <v>23</v>
      </c>
      <c r="K16" s="7" t="s">
        <v>40</v>
      </c>
      <c r="L16" s="9"/>
      <c r="M16" s="9"/>
    </row>
    <row r="17" spans="1:13" x14ac:dyDescent="0.2">
      <c r="A17" s="7" t="s">
        <v>100</v>
      </c>
      <c r="B17" s="7">
        <v>5</v>
      </c>
      <c r="C17" s="8" t="s">
        <v>101</v>
      </c>
      <c r="D17" s="8" t="s">
        <v>102</v>
      </c>
      <c r="E17" s="8" t="s">
        <v>103</v>
      </c>
      <c r="F17" s="8" t="s">
        <v>104</v>
      </c>
      <c r="G17" s="8" t="s">
        <v>105</v>
      </c>
      <c r="H17" s="7">
        <v>10</v>
      </c>
      <c r="I17" s="7" t="s">
        <v>22</v>
      </c>
      <c r="J17" s="7" t="s">
        <v>106</v>
      </c>
      <c r="K17" s="7"/>
      <c r="L17" s="9" t="s">
        <v>81</v>
      </c>
      <c r="M17" s="9"/>
    </row>
    <row r="18" spans="1:13" x14ac:dyDescent="0.2">
      <c r="A18" s="7" t="s">
        <v>107</v>
      </c>
      <c r="B18" s="7">
        <v>5</v>
      </c>
      <c r="C18" s="8" t="s">
        <v>108</v>
      </c>
      <c r="D18" s="8" t="s">
        <v>109</v>
      </c>
      <c r="E18" s="8" t="s">
        <v>110</v>
      </c>
      <c r="F18" s="8" t="s">
        <v>111</v>
      </c>
      <c r="G18" s="8" t="s">
        <v>112</v>
      </c>
      <c r="H18" s="7">
        <v>45</v>
      </c>
      <c r="I18" s="7" t="s">
        <v>31</v>
      </c>
      <c r="J18" s="7" t="s">
        <v>39</v>
      </c>
      <c r="K18" s="7" t="s">
        <v>24</v>
      </c>
      <c r="L18" s="9"/>
      <c r="M18" s="9"/>
    </row>
    <row r="19" spans="1:13" x14ac:dyDescent="0.2">
      <c r="A19" s="7" t="s">
        <v>113</v>
      </c>
      <c r="B19" s="7">
        <v>5</v>
      </c>
      <c r="C19" s="8" t="s">
        <v>114</v>
      </c>
      <c r="D19" s="8" t="s">
        <v>115</v>
      </c>
      <c r="E19" s="8" t="s">
        <v>116</v>
      </c>
      <c r="F19" s="8" t="s">
        <v>117</v>
      </c>
      <c r="G19" s="8" t="s">
        <v>118</v>
      </c>
      <c r="H19" s="7">
        <v>30</v>
      </c>
      <c r="I19" s="7" t="s">
        <v>31</v>
      </c>
      <c r="J19" s="7" t="s">
        <v>55</v>
      </c>
      <c r="K19" s="7" t="s">
        <v>24</v>
      </c>
      <c r="L19" s="9"/>
      <c r="M19" s="9"/>
    </row>
    <row r="20" spans="1:13" x14ac:dyDescent="0.2">
      <c r="A20" s="7" t="s">
        <v>119</v>
      </c>
      <c r="B20" s="7">
        <v>5</v>
      </c>
      <c r="C20" s="8" t="s">
        <v>120</v>
      </c>
      <c r="D20" s="8" t="s">
        <v>121</v>
      </c>
      <c r="E20" s="8" t="s">
        <v>122</v>
      </c>
      <c r="F20" s="8" t="s">
        <v>123</v>
      </c>
      <c r="G20" s="8" t="s">
        <v>124</v>
      </c>
      <c r="H20" s="7">
        <v>34</v>
      </c>
      <c r="I20" s="7" t="s">
        <v>22</v>
      </c>
      <c r="J20" s="7" t="s">
        <v>39</v>
      </c>
      <c r="K20" s="7" t="s">
        <v>24</v>
      </c>
      <c r="L20" s="9"/>
      <c r="M20" s="9"/>
    </row>
    <row r="21" spans="1:13" x14ac:dyDescent="0.2">
      <c r="A21" s="7" t="s">
        <v>125</v>
      </c>
      <c r="B21" s="7">
        <v>5</v>
      </c>
      <c r="C21" s="8" t="s">
        <v>126</v>
      </c>
      <c r="D21" s="8" t="s">
        <v>127</v>
      </c>
      <c r="E21" s="8" t="s">
        <v>128</v>
      </c>
      <c r="F21" s="8" t="s">
        <v>129</v>
      </c>
      <c r="G21" s="8" t="s">
        <v>130</v>
      </c>
      <c r="H21" s="7">
        <v>28</v>
      </c>
      <c r="I21" s="7" t="s">
        <v>22</v>
      </c>
      <c r="J21" s="7" t="s">
        <v>39</v>
      </c>
      <c r="K21" s="7" t="s">
        <v>32</v>
      </c>
      <c r="L21" s="9"/>
      <c r="M21" s="9"/>
    </row>
  </sheetData>
  <conditionalFormatting sqref="A5:K21">
    <cfRule type="expression" dxfId="56" priority="1">
      <formula>$X5=5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C306-D379-2447-8A0B-57188DAC1AA8}">
  <dimension ref="A1:M41"/>
  <sheetViews>
    <sheetView workbookViewId="0">
      <selection activeCell="F66" sqref="F66"/>
    </sheetView>
  </sheetViews>
  <sheetFormatPr baseColWidth="10" defaultRowHeight="16" x14ac:dyDescent="0.2"/>
  <cols>
    <col min="10" max="10" width="42.5" customWidth="1"/>
    <col min="11" max="11" width="19.1640625" customWidth="1"/>
  </cols>
  <sheetData>
    <row r="1" spans="1:13" x14ac:dyDescent="0.2">
      <c r="A1" s="10" t="s">
        <v>131</v>
      </c>
      <c r="B1" s="11"/>
      <c r="C1" s="1"/>
      <c r="D1" s="1"/>
      <c r="E1" s="1"/>
      <c r="F1" s="1"/>
      <c r="G1" s="1"/>
      <c r="H1" s="10"/>
      <c r="I1" s="11"/>
      <c r="J1" s="11"/>
      <c r="K1" s="2"/>
      <c r="L1" s="11"/>
      <c r="M1" s="2"/>
    </row>
    <row r="2" spans="1:13" x14ac:dyDescent="0.2">
      <c r="A2" s="10" t="s">
        <v>1</v>
      </c>
      <c r="B2" s="10">
        <f>COUNTA(A5:A41)</f>
        <v>37</v>
      </c>
      <c r="C2" s="1"/>
      <c r="D2" s="1" t="s">
        <v>2</v>
      </c>
      <c r="E2" s="1">
        <f>COUNTA(C5:G41)-COUNTIFS(C5:G41,"=N/A")</f>
        <v>169</v>
      </c>
      <c r="F2" s="1"/>
      <c r="G2" s="1"/>
      <c r="H2" s="10"/>
      <c r="I2" s="11"/>
      <c r="J2" s="11"/>
      <c r="K2" s="2"/>
      <c r="L2" s="11"/>
      <c r="M2" s="2"/>
    </row>
    <row r="3" spans="1:13" x14ac:dyDescent="0.2">
      <c r="A3" s="11"/>
      <c r="B3" s="11"/>
      <c r="C3" s="2"/>
      <c r="D3" s="2"/>
      <c r="E3" s="2"/>
      <c r="F3" s="2"/>
      <c r="G3" s="2"/>
      <c r="H3" s="11"/>
      <c r="I3" s="11"/>
      <c r="J3" s="11"/>
      <c r="K3" s="2"/>
      <c r="L3" s="11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5" t="s">
        <v>13</v>
      </c>
      <c r="L4" s="6" t="s">
        <v>14</v>
      </c>
      <c r="M4" s="5" t="s">
        <v>15</v>
      </c>
    </row>
    <row r="5" spans="1:13" x14ac:dyDescent="0.2">
      <c r="A5" s="12" t="s">
        <v>132</v>
      </c>
      <c r="B5" s="12">
        <v>5</v>
      </c>
      <c r="C5" s="13" t="s">
        <v>133</v>
      </c>
      <c r="D5" s="13" t="s">
        <v>134</v>
      </c>
      <c r="E5" s="13" t="s">
        <v>135</v>
      </c>
      <c r="F5" s="13" t="s">
        <v>136</v>
      </c>
      <c r="G5" s="13" t="s">
        <v>137</v>
      </c>
      <c r="H5" s="12">
        <v>53</v>
      </c>
      <c r="I5" s="12" t="s">
        <v>22</v>
      </c>
      <c r="J5" s="12" t="s">
        <v>138</v>
      </c>
      <c r="K5" s="12" t="s">
        <v>48</v>
      </c>
      <c r="L5" s="12"/>
      <c r="M5" s="14"/>
    </row>
    <row r="6" spans="1:13" x14ac:dyDescent="0.2">
      <c r="A6" s="12" t="s">
        <v>139</v>
      </c>
      <c r="B6" s="12">
        <v>5</v>
      </c>
      <c r="C6" s="13" t="s">
        <v>140</v>
      </c>
      <c r="D6" s="13" t="s">
        <v>141</v>
      </c>
      <c r="E6" s="13" t="s">
        <v>142</v>
      </c>
      <c r="F6" s="13" t="s">
        <v>143</v>
      </c>
      <c r="G6" s="13" t="s">
        <v>144</v>
      </c>
      <c r="H6" s="12">
        <v>17</v>
      </c>
      <c r="I6" s="12" t="s">
        <v>31</v>
      </c>
      <c r="J6" s="12" t="s">
        <v>145</v>
      </c>
      <c r="K6" s="12" t="s">
        <v>146</v>
      </c>
      <c r="L6" s="12"/>
      <c r="M6" s="14"/>
    </row>
    <row r="7" spans="1:13" x14ac:dyDescent="0.2">
      <c r="A7" s="12" t="s">
        <v>147</v>
      </c>
      <c r="B7" s="12">
        <v>4</v>
      </c>
      <c r="C7" s="13" t="s">
        <v>148</v>
      </c>
      <c r="D7" s="13" t="s">
        <v>149</v>
      </c>
      <c r="E7" s="13" t="s">
        <v>150</v>
      </c>
      <c r="F7" s="12" t="s">
        <v>29</v>
      </c>
      <c r="G7" s="13" t="s">
        <v>151</v>
      </c>
      <c r="H7" s="12">
        <v>41</v>
      </c>
      <c r="I7" s="12" t="s">
        <v>31</v>
      </c>
      <c r="J7" s="12" t="s">
        <v>152</v>
      </c>
      <c r="K7" s="12" t="s">
        <v>48</v>
      </c>
      <c r="L7" s="12"/>
      <c r="M7" s="14"/>
    </row>
    <row r="8" spans="1:13" x14ac:dyDescent="0.2">
      <c r="A8" s="12" t="s">
        <v>153</v>
      </c>
      <c r="B8" s="12">
        <v>3</v>
      </c>
      <c r="C8" s="13" t="s">
        <v>154</v>
      </c>
      <c r="D8" s="13" t="s">
        <v>155</v>
      </c>
      <c r="E8" s="13" t="s">
        <v>156</v>
      </c>
      <c r="F8" s="12" t="s">
        <v>29</v>
      </c>
      <c r="G8" s="12" t="s">
        <v>29</v>
      </c>
      <c r="H8" s="12">
        <v>41</v>
      </c>
      <c r="I8" s="12" t="s">
        <v>22</v>
      </c>
      <c r="J8" s="12" t="s">
        <v>157</v>
      </c>
      <c r="K8" s="12" t="s">
        <v>158</v>
      </c>
      <c r="L8" s="12"/>
      <c r="M8" s="14"/>
    </row>
    <row r="9" spans="1:13" x14ac:dyDescent="0.2">
      <c r="A9" s="12" t="s">
        <v>159</v>
      </c>
      <c r="B9" s="12">
        <v>5</v>
      </c>
      <c r="C9" s="13" t="s">
        <v>160</v>
      </c>
      <c r="D9" s="13" t="s">
        <v>161</v>
      </c>
      <c r="E9" s="13" t="s">
        <v>162</v>
      </c>
      <c r="F9" s="13" t="s">
        <v>163</v>
      </c>
      <c r="G9" s="13" t="s">
        <v>164</v>
      </c>
      <c r="H9" s="12">
        <v>50</v>
      </c>
      <c r="I9" s="12" t="s">
        <v>31</v>
      </c>
      <c r="J9" s="12" t="s">
        <v>165</v>
      </c>
      <c r="K9" s="12" t="s">
        <v>48</v>
      </c>
      <c r="L9" s="12"/>
      <c r="M9" s="14"/>
    </row>
    <row r="10" spans="1:13" x14ac:dyDescent="0.2">
      <c r="A10" s="15" t="s">
        <v>166</v>
      </c>
      <c r="B10" s="15">
        <v>3</v>
      </c>
      <c r="C10" s="13" t="s">
        <v>167</v>
      </c>
      <c r="D10" s="13" t="s">
        <v>168</v>
      </c>
      <c r="E10" s="13" t="s">
        <v>169</v>
      </c>
      <c r="F10" s="12" t="s">
        <v>29</v>
      </c>
      <c r="G10" s="12" t="s">
        <v>29</v>
      </c>
      <c r="H10" s="15">
        <v>59</v>
      </c>
      <c r="I10" s="15" t="s">
        <v>31</v>
      </c>
      <c r="J10" s="15" t="s">
        <v>170</v>
      </c>
      <c r="K10" s="15" t="s">
        <v>158</v>
      </c>
      <c r="L10" s="15"/>
      <c r="M10" s="16" t="s">
        <v>171</v>
      </c>
    </row>
    <row r="11" spans="1:13" x14ac:dyDescent="0.2">
      <c r="A11" s="12" t="s">
        <v>172</v>
      </c>
      <c r="B11" s="12">
        <v>4</v>
      </c>
      <c r="C11" s="13" t="s">
        <v>173</v>
      </c>
      <c r="D11" s="13" t="s">
        <v>174</v>
      </c>
      <c r="E11" s="13" t="s">
        <v>175</v>
      </c>
      <c r="F11" s="13" t="s">
        <v>176</v>
      </c>
      <c r="G11" s="12" t="s">
        <v>29</v>
      </c>
      <c r="H11" s="12">
        <v>79</v>
      </c>
      <c r="I11" s="12" t="s">
        <v>22</v>
      </c>
      <c r="J11" s="12" t="s">
        <v>170</v>
      </c>
      <c r="K11" s="12" t="s">
        <v>48</v>
      </c>
      <c r="L11" s="12"/>
      <c r="M11" s="14"/>
    </row>
    <row r="12" spans="1:13" x14ac:dyDescent="0.2">
      <c r="A12" s="12" t="s">
        <v>177</v>
      </c>
      <c r="B12" s="12">
        <v>5</v>
      </c>
      <c r="C12" s="13" t="s">
        <v>178</v>
      </c>
      <c r="D12" s="13" t="s">
        <v>179</v>
      </c>
      <c r="E12" s="13" t="s">
        <v>180</v>
      </c>
      <c r="F12" s="13" t="s">
        <v>181</v>
      </c>
      <c r="G12" s="13" t="s">
        <v>182</v>
      </c>
      <c r="H12" s="12">
        <v>53</v>
      </c>
      <c r="I12" s="12" t="s">
        <v>31</v>
      </c>
      <c r="J12" s="12" t="s">
        <v>170</v>
      </c>
      <c r="K12" s="12" t="s">
        <v>158</v>
      </c>
      <c r="L12" s="12"/>
      <c r="M12" s="14"/>
    </row>
    <row r="13" spans="1:13" x14ac:dyDescent="0.2">
      <c r="A13" s="12" t="s">
        <v>183</v>
      </c>
      <c r="B13" s="12">
        <v>5</v>
      </c>
      <c r="C13" s="13" t="s">
        <v>184</v>
      </c>
      <c r="D13" s="13" t="s">
        <v>185</v>
      </c>
      <c r="E13" s="13" t="s">
        <v>186</v>
      </c>
      <c r="F13" s="13" t="s">
        <v>187</v>
      </c>
      <c r="G13" s="13" t="s">
        <v>188</v>
      </c>
      <c r="H13" s="12">
        <v>49</v>
      </c>
      <c r="I13" s="12" t="s">
        <v>31</v>
      </c>
      <c r="J13" s="12" t="s">
        <v>165</v>
      </c>
      <c r="K13" s="12" t="s">
        <v>48</v>
      </c>
      <c r="L13" s="12"/>
      <c r="M13" s="14"/>
    </row>
    <row r="14" spans="1:13" x14ac:dyDescent="0.2">
      <c r="A14" s="12" t="s">
        <v>189</v>
      </c>
      <c r="B14" s="12">
        <v>5</v>
      </c>
      <c r="C14" s="13" t="s">
        <v>190</v>
      </c>
      <c r="D14" s="13" t="s">
        <v>191</v>
      </c>
      <c r="E14" s="13" t="s">
        <v>192</v>
      </c>
      <c r="F14" s="13" t="s">
        <v>193</v>
      </c>
      <c r="G14" s="13" t="s">
        <v>194</v>
      </c>
      <c r="H14" s="12">
        <v>81</v>
      </c>
      <c r="I14" s="12" t="s">
        <v>31</v>
      </c>
      <c r="J14" s="12" t="s">
        <v>165</v>
      </c>
      <c r="K14" s="12" t="s">
        <v>48</v>
      </c>
      <c r="L14" s="12"/>
      <c r="M14" s="14"/>
    </row>
    <row r="15" spans="1:13" x14ac:dyDescent="0.2">
      <c r="A15" s="12" t="s">
        <v>195</v>
      </c>
      <c r="B15" s="12">
        <v>5</v>
      </c>
      <c r="C15" s="13" t="s">
        <v>196</v>
      </c>
      <c r="D15" s="13" t="s">
        <v>197</v>
      </c>
      <c r="E15" s="13" t="s">
        <v>198</v>
      </c>
      <c r="F15" s="13" t="s">
        <v>199</v>
      </c>
      <c r="G15" s="13" t="s">
        <v>200</v>
      </c>
      <c r="H15" s="12">
        <v>56</v>
      </c>
      <c r="I15" s="12" t="s">
        <v>31</v>
      </c>
      <c r="J15" s="12" t="s">
        <v>201</v>
      </c>
      <c r="K15" s="12" t="s">
        <v>158</v>
      </c>
      <c r="L15" s="12"/>
      <c r="M15" s="14"/>
    </row>
    <row r="16" spans="1:13" x14ac:dyDescent="0.2">
      <c r="A16" s="12" t="s">
        <v>202</v>
      </c>
      <c r="B16" s="12">
        <v>4</v>
      </c>
      <c r="C16" s="13" t="s">
        <v>203</v>
      </c>
      <c r="D16" s="13" t="s">
        <v>204</v>
      </c>
      <c r="E16" s="13" t="s">
        <v>205</v>
      </c>
      <c r="F16" s="12" t="s">
        <v>29</v>
      </c>
      <c r="G16" s="13" t="s">
        <v>206</v>
      </c>
      <c r="H16" s="12">
        <v>63</v>
      </c>
      <c r="I16" s="12" t="s">
        <v>22</v>
      </c>
      <c r="J16" s="12" t="s">
        <v>207</v>
      </c>
      <c r="K16" s="12" t="s">
        <v>208</v>
      </c>
      <c r="L16" s="12"/>
      <c r="M16" s="14"/>
    </row>
    <row r="17" spans="1:13" x14ac:dyDescent="0.2">
      <c r="A17" s="12" t="s">
        <v>209</v>
      </c>
      <c r="B17" s="12">
        <v>5</v>
      </c>
      <c r="C17" s="13" t="s">
        <v>210</v>
      </c>
      <c r="D17" s="13" t="s">
        <v>211</v>
      </c>
      <c r="E17" s="13" t="s">
        <v>212</v>
      </c>
      <c r="F17" s="13" t="s">
        <v>213</v>
      </c>
      <c r="G17" s="13" t="s">
        <v>214</v>
      </c>
      <c r="H17" s="12">
        <v>77</v>
      </c>
      <c r="I17" s="12" t="s">
        <v>22</v>
      </c>
      <c r="J17" s="12" t="s">
        <v>215</v>
      </c>
      <c r="K17" s="12" t="s">
        <v>48</v>
      </c>
      <c r="L17" s="12"/>
      <c r="M17" s="14"/>
    </row>
    <row r="18" spans="1:13" x14ac:dyDescent="0.2">
      <c r="A18" s="12" t="s">
        <v>216</v>
      </c>
      <c r="B18" s="12">
        <v>5</v>
      </c>
      <c r="C18" s="13" t="s">
        <v>217</v>
      </c>
      <c r="D18" s="13" t="s">
        <v>218</v>
      </c>
      <c r="E18" s="13" t="s">
        <v>219</v>
      </c>
      <c r="F18" s="13" t="s">
        <v>220</v>
      </c>
      <c r="G18" s="13" t="s">
        <v>221</v>
      </c>
      <c r="H18" s="12">
        <v>68</v>
      </c>
      <c r="I18" s="12" t="s">
        <v>31</v>
      </c>
      <c r="J18" s="12" t="s">
        <v>170</v>
      </c>
      <c r="K18" s="12" t="s">
        <v>158</v>
      </c>
      <c r="L18" s="12" t="s">
        <v>24</v>
      </c>
      <c r="M18" s="14"/>
    </row>
    <row r="19" spans="1:13" x14ac:dyDescent="0.2">
      <c r="A19" s="12" t="s">
        <v>222</v>
      </c>
      <c r="B19" s="12">
        <v>4</v>
      </c>
      <c r="C19" s="13" t="s">
        <v>223</v>
      </c>
      <c r="D19" s="12" t="s">
        <v>29</v>
      </c>
      <c r="E19" s="13" t="s">
        <v>224</v>
      </c>
      <c r="F19" s="13" t="s">
        <v>225</v>
      </c>
      <c r="G19" s="13" t="s">
        <v>226</v>
      </c>
      <c r="H19" s="12">
        <v>58</v>
      </c>
      <c r="I19" s="12" t="s">
        <v>31</v>
      </c>
      <c r="J19" s="12" t="s">
        <v>227</v>
      </c>
      <c r="K19" s="12" t="s">
        <v>40</v>
      </c>
      <c r="L19" s="12"/>
      <c r="M19" s="14"/>
    </row>
    <row r="20" spans="1:13" x14ac:dyDescent="0.2">
      <c r="A20" s="12" t="s">
        <v>228</v>
      </c>
      <c r="B20" s="12">
        <v>5</v>
      </c>
      <c r="C20" s="13" t="s">
        <v>229</v>
      </c>
      <c r="D20" s="13" t="s">
        <v>230</v>
      </c>
      <c r="E20" s="13" t="s">
        <v>231</v>
      </c>
      <c r="F20" s="13" t="s">
        <v>232</v>
      </c>
      <c r="G20" s="13" t="s">
        <v>233</v>
      </c>
      <c r="H20" s="12">
        <v>43</v>
      </c>
      <c r="I20" s="12" t="s">
        <v>22</v>
      </c>
      <c r="J20" s="12" t="s">
        <v>234</v>
      </c>
      <c r="K20" s="12" t="s">
        <v>48</v>
      </c>
      <c r="L20" s="12"/>
      <c r="M20" s="14"/>
    </row>
    <row r="21" spans="1:13" x14ac:dyDescent="0.2">
      <c r="A21" s="12" t="s">
        <v>235</v>
      </c>
      <c r="B21" s="12">
        <v>5</v>
      </c>
      <c r="C21" s="13" t="s">
        <v>236</v>
      </c>
      <c r="D21" s="13" t="s">
        <v>237</v>
      </c>
      <c r="E21" s="13" t="s">
        <v>238</v>
      </c>
      <c r="F21" s="13" t="s">
        <v>239</v>
      </c>
      <c r="G21" s="13" t="s">
        <v>240</v>
      </c>
      <c r="H21" s="12">
        <v>60</v>
      </c>
      <c r="I21" s="12" t="s">
        <v>22</v>
      </c>
      <c r="J21" s="12" t="s">
        <v>241</v>
      </c>
      <c r="K21" s="12" t="s">
        <v>81</v>
      </c>
      <c r="L21" s="12"/>
      <c r="M21" s="14"/>
    </row>
    <row r="22" spans="1:13" x14ac:dyDescent="0.2">
      <c r="A22" s="12" t="s">
        <v>242</v>
      </c>
      <c r="B22" s="12">
        <v>5</v>
      </c>
      <c r="C22" s="13" t="s">
        <v>243</v>
      </c>
      <c r="D22" s="13" t="s">
        <v>244</v>
      </c>
      <c r="E22" s="13" t="s">
        <v>245</v>
      </c>
      <c r="F22" s="13" t="s">
        <v>246</v>
      </c>
      <c r="G22" s="13" t="s">
        <v>247</v>
      </c>
      <c r="H22" s="12">
        <v>53</v>
      </c>
      <c r="I22" s="12" t="s">
        <v>22</v>
      </c>
      <c r="J22" s="12" t="s">
        <v>248</v>
      </c>
      <c r="K22" s="12" t="s">
        <v>48</v>
      </c>
      <c r="L22" s="12"/>
      <c r="M22" s="14"/>
    </row>
    <row r="23" spans="1:13" x14ac:dyDescent="0.2">
      <c r="A23" s="12" t="s">
        <v>249</v>
      </c>
      <c r="B23" s="12">
        <v>3</v>
      </c>
      <c r="C23" s="13" t="s">
        <v>250</v>
      </c>
      <c r="D23" s="13" t="s">
        <v>251</v>
      </c>
      <c r="E23" s="13" t="s">
        <v>252</v>
      </c>
      <c r="F23" s="12" t="s">
        <v>29</v>
      </c>
      <c r="G23" s="12" t="s">
        <v>29</v>
      </c>
      <c r="H23" s="12">
        <v>47</v>
      </c>
      <c r="I23" s="12" t="s">
        <v>31</v>
      </c>
      <c r="J23" s="12" t="s">
        <v>170</v>
      </c>
      <c r="K23" s="12" t="s">
        <v>48</v>
      </c>
      <c r="L23" s="12"/>
      <c r="M23" s="14"/>
    </row>
    <row r="24" spans="1:13" x14ac:dyDescent="0.2">
      <c r="A24" s="12" t="s">
        <v>253</v>
      </c>
      <c r="B24" s="12">
        <v>5</v>
      </c>
      <c r="C24" s="13" t="s">
        <v>254</v>
      </c>
      <c r="D24" s="13" t="s">
        <v>255</v>
      </c>
      <c r="E24" s="13" t="s">
        <v>256</v>
      </c>
      <c r="F24" s="13" t="s">
        <v>257</v>
      </c>
      <c r="G24" s="13" t="s">
        <v>258</v>
      </c>
      <c r="H24" s="12">
        <v>57</v>
      </c>
      <c r="I24" s="12" t="s">
        <v>31</v>
      </c>
      <c r="J24" s="12" t="s">
        <v>227</v>
      </c>
      <c r="K24" s="12" t="s">
        <v>48</v>
      </c>
      <c r="L24" s="12"/>
      <c r="M24" s="14"/>
    </row>
    <row r="25" spans="1:13" x14ac:dyDescent="0.2">
      <c r="A25" s="12" t="s">
        <v>259</v>
      </c>
      <c r="B25" s="12">
        <v>5</v>
      </c>
      <c r="C25" s="13" t="s">
        <v>260</v>
      </c>
      <c r="D25" s="13" t="s">
        <v>261</v>
      </c>
      <c r="E25" s="13" t="s">
        <v>262</v>
      </c>
      <c r="F25" s="13" t="s">
        <v>263</v>
      </c>
      <c r="G25" s="13" t="s">
        <v>264</v>
      </c>
      <c r="H25" s="12">
        <v>55</v>
      </c>
      <c r="I25" s="12" t="s">
        <v>31</v>
      </c>
      <c r="J25" s="12" t="s">
        <v>265</v>
      </c>
      <c r="K25" s="12" t="s">
        <v>48</v>
      </c>
      <c r="L25" s="12"/>
      <c r="M25" s="14"/>
    </row>
    <row r="26" spans="1:13" x14ac:dyDescent="0.2">
      <c r="A26" s="12" t="s">
        <v>266</v>
      </c>
      <c r="B26" s="12">
        <v>5</v>
      </c>
      <c r="C26" s="13" t="s">
        <v>267</v>
      </c>
      <c r="D26" s="13" t="s">
        <v>268</v>
      </c>
      <c r="E26" s="13" t="s">
        <v>269</v>
      </c>
      <c r="F26" s="13" t="s">
        <v>270</v>
      </c>
      <c r="G26" s="13" t="s">
        <v>271</v>
      </c>
      <c r="H26" s="12">
        <v>32</v>
      </c>
      <c r="I26" s="12" t="s">
        <v>22</v>
      </c>
      <c r="J26" s="12" t="s">
        <v>272</v>
      </c>
      <c r="K26" s="12" t="s">
        <v>48</v>
      </c>
      <c r="L26" s="12"/>
      <c r="M26" s="14"/>
    </row>
    <row r="27" spans="1:13" x14ac:dyDescent="0.2">
      <c r="A27" s="12" t="s">
        <v>273</v>
      </c>
      <c r="B27" s="12">
        <v>3</v>
      </c>
      <c r="C27" s="13" t="s">
        <v>274</v>
      </c>
      <c r="D27" s="13" t="s">
        <v>275</v>
      </c>
      <c r="E27" s="13" t="s">
        <v>276</v>
      </c>
      <c r="F27" s="12" t="s">
        <v>29</v>
      </c>
      <c r="G27" s="12" t="s">
        <v>29</v>
      </c>
      <c r="H27" s="12">
        <v>46</v>
      </c>
      <c r="I27" s="12" t="s">
        <v>22</v>
      </c>
      <c r="J27" s="12" t="s">
        <v>234</v>
      </c>
      <c r="K27" s="12" t="s">
        <v>48</v>
      </c>
      <c r="L27" s="12"/>
      <c r="M27" s="14"/>
    </row>
    <row r="28" spans="1:13" x14ac:dyDescent="0.2">
      <c r="A28" s="12" t="s">
        <v>277</v>
      </c>
      <c r="B28" s="12">
        <v>5</v>
      </c>
      <c r="C28" s="13" t="s">
        <v>278</v>
      </c>
      <c r="D28" s="13" t="s">
        <v>279</v>
      </c>
      <c r="E28" s="13" t="s">
        <v>280</v>
      </c>
      <c r="F28" s="13" t="s">
        <v>281</v>
      </c>
      <c r="G28" s="13" t="s">
        <v>282</v>
      </c>
      <c r="H28" s="12">
        <v>65</v>
      </c>
      <c r="I28" s="12" t="s">
        <v>22</v>
      </c>
      <c r="J28" s="12" t="s">
        <v>170</v>
      </c>
      <c r="K28" s="12" t="s">
        <v>283</v>
      </c>
      <c r="L28" s="12"/>
      <c r="M28" s="14"/>
    </row>
    <row r="29" spans="1:13" x14ac:dyDescent="0.2">
      <c r="A29" s="12" t="s">
        <v>284</v>
      </c>
      <c r="B29" s="12">
        <v>5</v>
      </c>
      <c r="C29" s="13" t="s">
        <v>285</v>
      </c>
      <c r="D29" s="13" t="s">
        <v>286</v>
      </c>
      <c r="E29" s="13" t="s">
        <v>287</v>
      </c>
      <c r="F29" s="13" t="s">
        <v>288</v>
      </c>
      <c r="G29" s="13" t="s">
        <v>289</v>
      </c>
      <c r="H29" s="12">
        <v>58</v>
      </c>
      <c r="I29" s="12" t="s">
        <v>31</v>
      </c>
      <c r="J29" s="12" t="s">
        <v>272</v>
      </c>
      <c r="K29" s="12" t="s">
        <v>40</v>
      </c>
      <c r="L29" s="12"/>
      <c r="M29" s="14"/>
    </row>
    <row r="30" spans="1:13" x14ac:dyDescent="0.2">
      <c r="A30" s="12" t="s">
        <v>290</v>
      </c>
      <c r="B30" s="12">
        <v>5</v>
      </c>
      <c r="C30" s="13" t="s">
        <v>291</v>
      </c>
      <c r="D30" s="13" t="s">
        <v>292</v>
      </c>
      <c r="E30" s="13" t="s">
        <v>293</v>
      </c>
      <c r="F30" s="13" t="s">
        <v>294</v>
      </c>
      <c r="G30" s="13" t="s">
        <v>295</v>
      </c>
      <c r="H30" s="12">
        <v>55</v>
      </c>
      <c r="I30" s="12" t="s">
        <v>31</v>
      </c>
      <c r="J30" s="12" t="s">
        <v>170</v>
      </c>
      <c r="K30" s="12" t="s">
        <v>158</v>
      </c>
      <c r="L30" s="12"/>
      <c r="M30" s="14"/>
    </row>
    <row r="31" spans="1:13" x14ac:dyDescent="0.2">
      <c r="A31" s="12" t="s">
        <v>296</v>
      </c>
      <c r="B31" s="12">
        <v>5</v>
      </c>
      <c r="C31" s="13" t="s">
        <v>297</v>
      </c>
      <c r="D31" s="13" t="s">
        <v>298</v>
      </c>
      <c r="E31" s="13" t="s">
        <v>299</v>
      </c>
      <c r="F31" s="13" t="s">
        <v>300</v>
      </c>
      <c r="G31" s="13" t="s">
        <v>301</v>
      </c>
      <c r="H31" s="12">
        <v>42</v>
      </c>
      <c r="I31" s="12" t="s">
        <v>22</v>
      </c>
      <c r="J31" s="12" t="s">
        <v>265</v>
      </c>
      <c r="K31" s="12" t="s">
        <v>48</v>
      </c>
      <c r="L31" s="12"/>
      <c r="M31" s="14"/>
    </row>
    <row r="32" spans="1:13" x14ac:dyDescent="0.2">
      <c r="A32" s="12" t="s">
        <v>302</v>
      </c>
      <c r="B32" s="12">
        <v>5</v>
      </c>
      <c r="C32" s="13" t="s">
        <v>303</v>
      </c>
      <c r="D32" s="13" t="s">
        <v>304</v>
      </c>
      <c r="E32" s="13" t="s">
        <v>305</v>
      </c>
      <c r="F32" s="13" t="s">
        <v>306</v>
      </c>
      <c r="G32" s="13" t="s">
        <v>307</v>
      </c>
      <c r="H32" s="12">
        <v>32</v>
      </c>
      <c r="I32" s="12" t="s">
        <v>31</v>
      </c>
      <c r="J32" s="12" t="s">
        <v>265</v>
      </c>
      <c r="K32" s="12" t="s">
        <v>48</v>
      </c>
      <c r="L32" s="12"/>
      <c r="M32" s="14"/>
    </row>
    <row r="33" spans="1:13" x14ac:dyDescent="0.2">
      <c r="A33" s="12" t="s">
        <v>308</v>
      </c>
      <c r="B33" s="12">
        <v>4</v>
      </c>
      <c r="C33" s="13" t="s">
        <v>309</v>
      </c>
      <c r="D33" s="13" t="s">
        <v>310</v>
      </c>
      <c r="E33" s="13" t="s">
        <v>311</v>
      </c>
      <c r="F33" s="13" t="s">
        <v>312</v>
      </c>
      <c r="G33" s="12" t="s">
        <v>29</v>
      </c>
      <c r="H33" s="12">
        <v>50</v>
      </c>
      <c r="I33" s="12" t="s">
        <v>31</v>
      </c>
      <c r="J33" s="12" t="s">
        <v>234</v>
      </c>
      <c r="K33" s="12" t="s">
        <v>48</v>
      </c>
      <c r="L33" s="12"/>
      <c r="M33" s="14"/>
    </row>
    <row r="34" spans="1:13" x14ac:dyDescent="0.2">
      <c r="A34" s="12" t="s">
        <v>313</v>
      </c>
      <c r="B34" s="12">
        <v>5</v>
      </c>
      <c r="C34" s="13" t="s">
        <v>314</v>
      </c>
      <c r="D34" s="13" t="s">
        <v>315</v>
      </c>
      <c r="E34" s="13" t="s">
        <v>316</v>
      </c>
      <c r="F34" s="13" t="s">
        <v>317</v>
      </c>
      <c r="G34" s="13" t="s">
        <v>318</v>
      </c>
      <c r="H34" s="12">
        <v>49</v>
      </c>
      <c r="I34" s="12" t="s">
        <v>22</v>
      </c>
      <c r="J34" s="12" t="s">
        <v>319</v>
      </c>
      <c r="K34" s="12" t="s">
        <v>48</v>
      </c>
      <c r="L34" s="12"/>
      <c r="M34" s="14"/>
    </row>
    <row r="35" spans="1:13" x14ac:dyDescent="0.2">
      <c r="A35" s="12" t="s">
        <v>320</v>
      </c>
      <c r="B35" s="12">
        <v>5</v>
      </c>
      <c r="C35" s="13" t="s">
        <v>321</v>
      </c>
      <c r="D35" s="13" t="s">
        <v>322</v>
      </c>
      <c r="E35" s="13" t="s">
        <v>323</v>
      </c>
      <c r="F35" s="13" t="s">
        <v>324</v>
      </c>
      <c r="G35" s="13" t="s">
        <v>325</v>
      </c>
      <c r="H35" s="12">
        <v>74</v>
      </c>
      <c r="I35" s="12" t="s">
        <v>31</v>
      </c>
      <c r="J35" s="12" t="s">
        <v>170</v>
      </c>
      <c r="K35" s="12" t="s">
        <v>48</v>
      </c>
      <c r="L35" s="12"/>
      <c r="M35" s="14"/>
    </row>
    <row r="36" spans="1:13" x14ac:dyDescent="0.2">
      <c r="A36" s="12" t="s">
        <v>326</v>
      </c>
      <c r="B36" s="12">
        <v>3</v>
      </c>
      <c r="C36" s="13" t="s">
        <v>327</v>
      </c>
      <c r="D36" s="13" t="s">
        <v>328</v>
      </c>
      <c r="E36" s="13" t="s">
        <v>329</v>
      </c>
      <c r="F36" s="12" t="s">
        <v>29</v>
      </c>
      <c r="G36" s="12" t="s">
        <v>29</v>
      </c>
      <c r="H36" s="12">
        <v>41</v>
      </c>
      <c r="I36" s="12" t="s">
        <v>31</v>
      </c>
      <c r="J36" s="12" t="s">
        <v>170</v>
      </c>
      <c r="K36" s="12" t="s">
        <v>158</v>
      </c>
      <c r="L36" s="12"/>
      <c r="M36" s="14"/>
    </row>
    <row r="37" spans="1:13" x14ac:dyDescent="0.2">
      <c r="A37" s="12" t="s">
        <v>330</v>
      </c>
      <c r="B37" s="12">
        <v>5</v>
      </c>
      <c r="C37" s="13" t="s">
        <v>331</v>
      </c>
      <c r="D37" s="13" t="s">
        <v>332</v>
      </c>
      <c r="E37" s="13" t="s">
        <v>333</v>
      </c>
      <c r="F37" s="13" t="s">
        <v>334</v>
      </c>
      <c r="G37" s="13" t="s">
        <v>335</v>
      </c>
      <c r="H37" s="12">
        <v>50</v>
      </c>
      <c r="I37" s="12" t="s">
        <v>31</v>
      </c>
      <c r="J37" s="12" t="s">
        <v>248</v>
      </c>
      <c r="K37" s="12" t="s">
        <v>48</v>
      </c>
      <c r="L37" s="12"/>
      <c r="M37" s="14"/>
    </row>
    <row r="38" spans="1:13" x14ac:dyDescent="0.2">
      <c r="A38" s="12" t="s">
        <v>336</v>
      </c>
      <c r="B38" s="12">
        <v>5</v>
      </c>
      <c r="C38" s="13" t="s">
        <v>337</v>
      </c>
      <c r="D38" s="13" t="s">
        <v>338</v>
      </c>
      <c r="E38" s="13" t="s">
        <v>339</v>
      </c>
      <c r="F38" s="13" t="s">
        <v>340</v>
      </c>
      <c r="G38" s="13" t="s">
        <v>341</v>
      </c>
      <c r="H38" s="12">
        <v>58</v>
      </c>
      <c r="I38" s="12" t="s">
        <v>31</v>
      </c>
      <c r="J38" s="12" t="s">
        <v>342</v>
      </c>
      <c r="K38" s="12" t="s">
        <v>81</v>
      </c>
      <c r="L38" s="12"/>
      <c r="M38" s="14"/>
    </row>
    <row r="39" spans="1:13" x14ac:dyDescent="0.2">
      <c r="A39" s="12" t="s">
        <v>343</v>
      </c>
      <c r="B39" s="12">
        <v>5</v>
      </c>
      <c r="C39" s="13" t="s">
        <v>344</v>
      </c>
      <c r="D39" s="13" t="s">
        <v>345</v>
      </c>
      <c r="E39" s="13" t="s">
        <v>346</v>
      </c>
      <c r="F39" s="13" t="s">
        <v>347</v>
      </c>
      <c r="G39" s="13" t="s">
        <v>348</v>
      </c>
      <c r="H39" s="12">
        <v>73</v>
      </c>
      <c r="I39" s="12" t="s">
        <v>22</v>
      </c>
      <c r="J39" s="12" t="s">
        <v>265</v>
      </c>
      <c r="K39" s="12" t="s">
        <v>48</v>
      </c>
      <c r="L39" s="12"/>
      <c r="M39" s="14"/>
    </row>
    <row r="40" spans="1:13" x14ac:dyDescent="0.2">
      <c r="A40" s="12" t="s">
        <v>349</v>
      </c>
      <c r="B40" s="12">
        <v>4</v>
      </c>
      <c r="C40" s="13" t="s">
        <v>350</v>
      </c>
      <c r="D40" s="13" t="s">
        <v>351</v>
      </c>
      <c r="E40" s="13" t="s">
        <v>352</v>
      </c>
      <c r="F40" s="13" t="s">
        <v>353</v>
      </c>
      <c r="G40" s="12" t="s">
        <v>29</v>
      </c>
      <c r="H40" s="12">
        <v>56</v>
      </c>
      <c r="I40" s="12" t="s">
        <v>31</v>
      </c>
      <c r="J40" s="12" t="s">
        <v>248</v>
      </c>
      <c r="K40" s="12" t="s">
        <v>48</v>
      </c>
      <c r="L40" s="12"/>
      <c r="M40" s="14"/>
    </row>
    <row r="41" spans="1:13" x14ac:dyDescent="0.2">
      <c r="A41" s="12" t="s">
        <v>354</v>
      </c>
      <c r="B41" s="12">
        <v>5</v>
      </c>
      <c r="C41" s="13" t="s">
        <v>355</v>
      </c>
      <c r="D41" s="13" t="s">
        <v>356</v>
      </c>
      <c r="E41" s="13" t="s">
        <v>357</v>
      </c>
      <c r="F41" s="13" t="s">
        <v>358</v>
      </c>
      <c r="G41" s="13" t="s">
        <v>359</v>
      </c>
      <c r="H41" s="12">
        <v>72</v>
      </c>
      <c r="I41" s="12" t="s">
        <v>31</v>
      </c>
      <c r="J41" s="12" t="s">
        <v>272</v>
      </c>
      <c r="K41" s="12" t="s">
        <v>48</v>
      </c>
      <c r="L41" s="12"/>
      <c r="M41" s="14"/>
    </row>
  </sheetData>
  <conditionalFormatting sqref="A5:M41">
    <cfRule type="expression" dxfId="55" priority="1">
      <formula>#REF!=5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16A2-83AE-8E45-8FE4-E116014E4756}">
  <dimension ref="A1:M23"/>
  <sheetViews>
    <sheetView workbookViewId="0">
      <selection activeCell="I32" sqref="I32"/>
    </sheetView>
  </sheetViews>
  <sheetFormatPr baseColWidth="10" defaultRowHeight="16" x14ac:dyDescent="0.2"/>
  <cols>
    <col min="10" max="10" width="17.33203125" customWidth="1"/>
    <col min="11" max="11" width="17.5" customWidth="1"/>
    <col min="12" max="12" width="16.83203125" customWidth="1"/>
  </cols>
  <sheetData>
    <row r="1" spans="1:13" x14ac:dyDescent="0.2">
      <c r="A1" s="10" t="s">
        <v>360</v>
      </c>
      <c r="B1" s="11"/>
      <c r="C1" s="1"/>
      <c r="D1" s="1"/>
      <c r="E1" s="1"/>
      <c r="F1" s="1"/>
      <c r="G1" s="1"/>
      <c r="H1" s="10"/>
      <c r="I1" s="11"/>
      <c r="J1" s="11"/>
      <c r="K1" s="2"/>
      <c r="L1" s="11"/>
      <c r="M1" s="2"/>
    </row>
    <row r="2" spans="1:13" x14ac:dyDescent="0.2">
      <c r="A2" s="10" t="s">
        <v>1</v>
      </c>
      <c r="B2" s="10">
        <f>COUNTA(A5:A23)</f>
        <v>19</v>
      </c>
      <c r="C2" s="1"/>
      <c r="D2" s="1" t="s">
        <v>2</v>
      </c>
      <c r="E2" s="1">
        <f>COUNTA(C5:G23)-COUNTIFS(C5:G23,"=N/A")</f>
        <v>89</v>
      </c>
      <c r="F2" s="1"/>
      <c r="G2" s="1"/>
      <c r="H2" s="10"/>
      <c r="I2" s="11"/>
      <c r="J2" s="11"/>
      <c r="K2" s="2"/>
      <c r="L2" s="11"/>
      <c r="M2" s="2"/>
    </row>
    <row r="3" spans="1:13" x14ac:dyDescent="0.2">
      <c r="A3" s="11"/>
      <c r="B3" s="11"/>
      <c r="C3" s="2"/>
      <c r="D3" s="2"/>
      <c r="E3" s="2"/>
      <c r="F3" s="2"/>
      <c r="G3" s="2"/>
      <c r="H3" s="11"/>
      <c r="I3" s="11"/>
      <c r="J3" s="11"/>
      <c r="K3" s="2"/>
      <c r="L3" s="11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5" t="s">
        <v>13</v>
      </c>
      <c r="L4" s="6" t="s">
        <v>14</v>
      </c>
      <c r="M4" s="5" t="s">
        <v>15</v>
      </c>
    </row>
    <row r="5" spans="1:13" x14ac:dyDescent="0.2">
      <c r="A5" s="14" t="s">
        <v>361</v>
      </c>
      <c r="B5" s="14">
        <v>3</v>
      </c>
      <c r="C5" s="17" t="s">
        <v>362</v>
      </c>
      <c r="D5" s="17" t="s">
        <v>363</v>
      </c>
      <c r="E5" s="17" t="s">
        <v>364</v>
      </c>
      <c r="F5" s="14" t="s">
        <v>29</v>
      </c>
      <c r="G5" s="14" t="s">
        <v>29</v>
      </c>
      <c r="H5" s="14">
        <v>61</v>
      </c>
      <c r="I5" s="14" t="s">
        <v>22</v>
      </c>
      <c r="J5" s="18" t="s">
        <v>365</v>
      </c>
      <c r="K5" s="12"/>
      <c r="L5" s="12"/>
      <c r="M5" s="14"/>
    </row>
    <row r="6" spans="1:13" x14ac:dyDescent="0.2">
      <c r="A6" s="14" t="s">
        <v>366</v>
      </c>
      <c r="B6" s="14">
        <v>5</v>
      </c>
      <c r="C6" s="17" t="s">
        <v>367</v>
      </c>
      <c r="D6" s="17" t="s">
        <v>368</v>
      </c>
      <c r="E6" s="17" t="s">
        <v>369</v>
      </c>
      <c r="F6" s="17" t="s">
        <v>370</v>
      </c>
      <c r="G6" s="17" t="s">
        <v>371</v>
      </c>
      <c r="H6" s="14">
        <v>57</v>
      </c>
      <c r="I6" s="14" t="s">
        <v>31</v>
      </c>
      <c r="J6" s="18" t="s">
        <v>365</v>
      </c>
      <c r="K6" s="12"/>
      <c r="L6" s="12"/>
      <c r="M6" s="14"/>
    </row>
    <row r="7" spans="1:13" x14ac:dyDescent="0.2">
      <c r="A7" s="14" t="s">
        <v>372</v>
      </c>
      <c r="B7" s="14">
        <v>3</v>
      </c>
      <c r="C7" s="17" t="s">
        <v>373</v>
      </c>
      <c r="D7" s="17" t="s">
        <v>374</v>
      </c>
      <c r="E7" s="17" t="s">
        <v>375</v>
      </c>
      <c r="F7" s="14" t="s">
        <v>29</v>
      </c>
      <c r="G7" s="14" t="s">
        <v>29</v>
      </c>
      <c r="H7" s="14">
        <v>28</v>
      </c>
      <c r="I7" s="14" t="s">
        <v>31</v>
      </c>
      <c r="J7" s="18" t="s">
        <v>365</v>
      </c>
      <c r="K7" s="12"/>
      <c r="L7" s="12"/>
      <c r="M7" s="14"/>
    </row>
    <row r="8" spans="1:13" x14ac:dyDescent="0.2">
      <c r="A8" s="14" t="s">
        <v>376</v>
      </c>
      <c r="B8" s="14">
        <v>5</v>
      </c>
      <c r="C8" s="17" t="s">
        <v>377</v>
      </c>
      <c r="D8" s="17" t="s">
        <v>378</v>
      </c>
      <c r="E8" s="17" t="s">
        <v>379</v>
      </c>
      <c r="F8" s="17" t="s">
        <v>380</v>
      </c>
      <c r="G8" s="17" t="s">
        <v>381</v>
      </c>
      <c r="H8" s="14">
        <v>50</v>
      </c>
      <c r="I8" s="14" t="s">
        <v>31</v>
      </c>
      <c r="J8" s="18" t="s">
        <v>365</v>
      </c>
      <c r="K8" s="12"/>
      <c r="L8" s="12"/>
      <c r="M8" s="14"/>
    </row>
    <row r="9" spans="1:13" x14ac:dyDescent="0.2">
      <c r="A9" s="14" t="s">
        <v>382</v>
      </c>
      <c r="B9" s="14">
        <v>5</v>
      </c>
      <c r="C9" s="17" t="s">
        <v>383</v>
      </c>
      <c r="D9" s="17" t="s">
        <v>384</v>
      </c>
      <c r="E9" s="17" t="s">
        <v>385</v>
      </c>
      <c r="F9" s="17" t="s">
        <v>386</v>
      </c>
      <c r="G9" s="17" t="s">
        <v>387</v>
      </c>
      <c r="H9" s="14">
        <v>67</v>
      </c>
      <c r="I9" s="14" t="s">
        <v>22</v>
      </c>
      <c r="J9" s="18" t="s">
        <v>365</v>
      </c>
      <c r="K9" s="12"/>
      <c r="L9" s="12"/>
      <c r="M9" s="14"/>
    </row>
    <row r="10" spans="1:13" x14ac:dyDescent="0.2">
      <c r="A10" s="14" t="s">
        <v>388</v>
      </c>
      <c r="B10" s="14">
        <v>5</v>
      </c>
      <c r="C10" s="17" t="s">
        <v>389</v>
      </c>
      <c r="D10" s="17" t="s">
        <v>390</v>
      </c>
      <c r="E10" s="17" t="s">
        <v>391</v>
      </c>
      <c r="F10" s="17" t="s">
        <v>392</v>
      </c>
      <c r="G10" s="17" t="s">
        <v>393</v>
      </c>
      <c r="H10" s="14">
        <v>46</v>
      </c>
      <c r="I10" s="14" t="s">
        <v>22</v>
      </c>
      <c r="J10" s="18" t="s">
        <v>365</v>
      </c>
      <c r="K10" s="12"/>
      <c r="L10" s="12"/>
      <c r="M10" s="14"/>
    </row>
    <row r="11" spans="1:13" x14ac:dyDescent="0.2">
      <c r="A11" s="14" t="s">
        <v>394</v>
      </c>
      <c r="B11" s="14">
        <v>5</v>
      </c>
      <c r="C11" s="17" t="s">
        <v>395</v>
      </c>
      <c r="D11" s="17" t="s">
        <v>396</v>
      </c>
      <c r="E11" s="17" t="s">
        <v>397</v>
      </c>
      <c r="F11" s="17" t="s">
        <v>398</v>
      </c>
      <c r="G11" s="17" t="s">
        <v>399</v>
      </c>
      <c r="H11" s="14">
        <v>43</v>
      </c>
      <c r="I11" s="14" t="s">
        <v>22</v>
      </c>
      <c r="J11" s="18" t="s">
        <v>365</v>
      </c>
      <c r="K11" s="12"/>
      <c r="L11" s="12"/>
      <c r="M11" s="14"/>
    </row>
    <row r="12" spans="1:13" x14ac:dyDescent="0.2">
      <c r="A12" s="14" t="s">
        <v>400</v>
      </c>
      <c r="B12" s="14">
        <v>5</v>
      </c>
      <c r="C12" s="17" t="s">
        <v>401</v>
      </c>
      <c r="D12" s="17" t="s">
        <v>402</v>
      </c>
      <c r="E12" s="17" t="s">
        <v>403</v>
      </c>
      <c r="F12" s="17" t="s">
        <v>404</v>
      </c>
      <c r="G12" s="17" t="s">
        <v>405</v>
      </c>
      <c r="H12" s="14">
        <v>58</v>
      </c>
      <c r="I12" s="14" t="s">
        <v>22</v>
      </c>
      <c r="J12" s="18" t="s">
        <v>365</v>
      </c>
      <c r="K12" s="12"/>
      <c r="L12" s="12"/>
      <c r="M12" s="14"/>
    </row>
    <row r="13" spans="1:13" x14ac:dyDescent="0.2">
      <c r="A13" s="14" t="s">
        <v>406</v>
      </c>
      <c r="B13" s="14">
        <v>5</v>
      </c>
      <c r="C13" s="17" t="s">
        <v>407</v>
      </c>
      <c r="D13" s="17" t="s">
        <v>408</v>
      </c>
      <c r="E13" s="17" t="s">
        <v>409</v>
      </c>
      <c r="F13" s="17" t="s">
        <v>410</v>
      </c>
      <c r="G13" s="17" t="s">
        <v>411</v>
      </c>
      <c r="H13" s="14">
        <v>51</v>
      </c>
      <c r="I13" s="14" t="s">
        <v>22</v>
      </c>
      <c r="J13" s="18" t="s">
        <v>365</v>
      </c>
      <c r="K13" s="12"/>
      <c r="L13" s="12"/>
      <c r="M13" s="14"/>
    </row>
    <row r="14" spans="1:13" x14ac:dyDescent="0.2">
      <c r="A14" s="14" t="s">
        <v>412</v>
      </c>
      <c r="B14" s="14">
        <v>5</v>
      </c>
      <c r="C14" s="17" t="s">
        <v>413</v>
      </c>
      <c r="D14" s="17" t="s">
        <v>414</v>
      </c>
      <c r="E14" s="17" t="s">
        <v>415</v>
      </c>
      <c r="F14" s="17" t="s">
        <v>416</v>
      </c>
      <c r="G14" s="17" t="s">
        <v>417</v>
      </c>
      <c r="H14" s="14">
        <v>16</v>
      </c>
      <c r="I14" s="14" t="s">
        <v>31</v>
      </c>
      <c r="J14" s="18" t="s">
        <v>365</v>
      </c>
      <c r="K14" s="12"/>
      <c r="L14" s="12"/>
      <c r="M14" s="14"/>
    </row>
    <row r="15" spans="1:13" x14ac:dyDescent="0.2">
      <c r="A15" s="14" t="s">
        <v>418</v>
      </c>
      <c r="B15" s="14">
        <v>4</v>
      </c>
      <c r="C15" s="17" t="s">
        <v>419</v>
      </c>
      <c r="D15" s="17" t="s">
        <v>420</v>
      </c>
      <c r="E15" s="17" t="s">
        <v>421</v>
      </c>
      <c r="F15" s="17" t="s">
        <v>422</v>
      </c>
      <c r="G15" s="14" t="s">
        <v>29</v>
      </c>
      <c r="H15" s="14">
        <v>73</v>
      </c>
      <c r="I15" s="14" t="s">
        <v>22</v>
      </c>
      <c r="J15" s="18" t="s">
        <v>365</v>
      </c>
      <c r="K15" s="12"/>
      <c r="L15" s="12"/>
      <c r="M15" s="14"/>
    </row>
    <row r="16" spans="1:13" x14ac:dyDescent="0.2">
      <c r="A16" s="14" t="s">
        <v>423</v>
      </c>
      <c r="B16" s="14">
        <v>4</v>
      </c>
      <c r="C16" s="17" t="s">
        <v>424</v>
      </c>
      <c r="D16" s="17" t="s">
        <v>425</v>
      </c>
      <c r="E16" s="17" t="s">
        <v>426</v>
      </c>
      <c r="F16" s="17" t="s">
        <v>427</v>
      </c>
      <c r="G16" s="14" t="s">
        <v>29</v>
      </c>
      <c r="H16" s="14">
        <v>87</v>
      </c>
      <c r="I16" s="14" t="s">
        <v>22</v>
      </c>
      <c r="J16" s="18" t="s">
        <v>365</v>
      </c>
      <c r="K16" s="12"/>
      <c r="L16" s="12"/>
      <c r="M16" s="14"/>
    </row>
    <row r="17" spans="1:13" x14ac:dyDescent="0.2">
      <c r="A17" s="14" t="s">
        <v>428</v>
      </c>
      <c r="B17" s="14">
        <v>5</v>
      </c>
      <c r="C17" s="17" t="s">
        <v>429</v>
      </c>
      <c r="D17" s="17" t="s">
        <v>430</v>
      </c>
      <c r="E17" s="17" t="s">
        <v>431</v>
      </c>
      <c r="F17" s="17" t="s">
        <v>432</v>
      </c>
      <c r="G17" s="17" t="s">
        <v>433</v>
      </c>
      <c r="H17" s="14">
        <v>71</v>
      </c>
      <c r="I17" s="14" t="s">
        <v>31</v>
      </c>
      <c r="J17" s="18" t="s">
        <v>365</v>
      </c>
      <c r="K17" s="12"/>
      <c r="L17" s="12"/>
      <c r="M17" s="14"/>
    </row>
    <row r="18" spans="1:13" x14ac:dyDescent="0.2">
      <c r="A18" s="14" t="s">
        <v>434</v>
      </c>
      <c r="B18" s="14">
        <v>5</v>
      </c>
      <c r="C18" s="17" t="s">
        <v>435</v>
      </c>
      <c r="D18" s="17" t="s">
        <v>436</v>
      </c>
      <c r="E18" s="17" t="s">
        <v>437</v>
      </c>
      <c r="F18" s="17" t="s">
        <v>438</v>
      </c>
      <c r="G18" s="17" t="s">
        <v>439</v>
      </c>
      <c r="H18" s="14">
        <v>67</v>
      </c>
      <c r="I18" s="14" t="s">
        <v>22</v>
      </c>
      <c r="J18" s="18" t="s">
        <v>365</v>
      </c>
      <c r="K18" s="12"/>
      <c r="L18" s="12"/>
      <c r="M18" s="14"/>
    </row>
    <row r="19" spans="1:13" x14ac:dyDescent="0.2">
      <c r="A19" s="14" t="s">
        <v>440</v>
      </c>
      <c r="B19" s="14">
        <v>5</v>
      </c>
      <c r="C19" s="17" t="s">
        <v>441</v>
      </c>
      <c r="D19" s="17" t="s">
        <v>442</v>
      </c>
      <c r="E19" s="17" t="s">
        <v>443</v>
      </c>
      <c r="F19" s="17" t="s">
        <v>444</v>
      </c>
      <c r="G19" s="17" t="s">
        <v>445</v>
      </c>
      <c r="H19" s="14">
        <v>61</v>
      </c>
      <c r="I19" s="14" t="s">
        <v>22</v>
      </c>
      <c r="J19" s="18" t="s">
        <v>365</v>
      </c>
      <c r="K19" s="12"/>
      <c r="L19" s="12"/>
      <c r="M19" s="14"/>
    </row>
    <row r="20" spans="1:13" x14ac:dyDescent="0.2">
      <c r="A20" s="14" t="s">
        <v>446</v>
      </c>
      <c r="B20" s="14">
        <v>5</v>
      </c>
      <c r="C20" s="17" t="s">
        <v>447</v>
      </c>
      <c r="D20" s="17" t="s">
        <v>448</v>
      </c>
      <c r="E20" s="17" t="s">
        <v>449</v>
      </c>
      <c r="F20" s="17" t="s">
        <v>450</v>
      </c>
      <c r="G20" s="17" t="s">
        <v>451</v>
      </c>
      <c r="H20" s="14">
        <v>41</v>
      </c>
      <c r="I20" s="14" t="s">
        <v>31</v>
      </c>
      <c r="J20" s="18" t="s">
        <v>365</v>
      </c>
      <c r="K20" s="12"/>
      <c r="L20" s="12"/>
      <c r="M20" s="14"/>
    </row>
    <row r="21" spans="1:13" x14ac:dyDescent="0.2">
      <c r="A21" s="14" t="s">
        <v>452</v>
      </c>
      <c r="B21" s="14">
        <v>5</v>
      </c>
      <c r="C21" s="17" t="s">
        <v>453</v>
      </c>
      <c r="D21" s="17" t="s">
        <v>454</v>
      </c>
      <c r="E21" s="17" t="s">
        <v>455</v>
      </c>
      <c r="F21" s="17" t="s">
        <v>456</v>
      </c>
      <c r="G21" s="17" t="s">
        <v>457</v>
      </c>
      <c r="H21" s="14">
        <v>73</v>
      </c>
      <c r="I21" s="14" t="s">
        <v>31</v>
      </c>
      <c r="J21" s="18" t="s">
        <v>365</v>
      </c>
      <c r="K21" s="12"/>
      <c r="L21" s="12"/>
      <c r="M21" s="14"/>
    </row>
    <row r="22" spans="1:13" x14ac:dyDescent="0.2">
      <c r="A22" s="14" t="s">
        <v>458</v>
      </c>
      <c r="B22" s="14">
        <v>5</v>
      </c>
      <c r="C22" s="17" t="s">
        <v>459</v>
      </c>
      <c r="D22" s="17" t="s">
        <v>460</v>
      </c>
      <c r="E22" s="17" t="s">
        <v>461</v>
      </c>
      <c r="F22" s="17" t="s">
        <v>462</v>
      </c>
      <c r="G22" s="17" t="s">
        <v>463</v>
      </c>
      <c r="H22" s="14">
        <v>35</v>
      </c>
      <c r="I22" s="14" t="s">
        <v>31</v>
      </c>
      <c r="J22" s="18" t="s">
        <v>365</v>
      </c>
      <c r="K22" s="12"/>
      <c r="L22" s="12"/>
      <c r="M22" s="14"/>
    </row>
    <row r="23" spans="1:13" x14ac:dyDescent="0.2">
      <c r="A23" s="14" t="s">
        <v>464</v>
      </c>
      <c r="B23" s="14">
        <v>5</v>
      </c>
      <c r="C23" s="17" t="s">
        <v>465</v>
      </c>
      <c r="D23" s="17" t="s">
        <v>466</v>
      </c>
      <c r="E23" s="17" t="s">
        <v>467</v>
      </c>
      <c r="F23" s="17" t="s">
        <v>468</v>
      </c>
      <c r="G23" s="17" t="s">
        <v>469</v>
      </c>
      <c r="H23" s="14">
        <v>34</v>
      </c>
      <c r="I23" s="14" t="s">
        <v>22</v>
      </c>
      <c r="J23" s="18" t="s">
        <v>365</v>
      </c>
      <c r="K23" s="12"/>
      <c r="L23" s="12"/>
      <c r="M23" s="14"/>
    </row>
  </sheetData>
  <conditionalFormatting sqref="K5:M23">
    <cfRule type="expression" dxfId="54" priority="5">
      <formula>#REF!=5</formula>
    </cfRule>
  </conditionalFormatting>
  <conditionalFormatting sqref="A5:A23">
    <cfRule type="expression" dxfId="53" priority="4">
      <formula>$T5=5</formula>
    </cfRule>
  </conditionalFormatting>
  <conditionalFormatting sqref="B5:B23">
    <cfRule type="expression" dxfId="52" priority="3">
      <formula>$T5=5</formula>
    </cfRule>
  </conditionalFormatting>
  <conditionalFormatting sqref="H5:I23">
    <cfRule type="expression" dxfId="51" priority="2">
      <formula>$T5=5</formula>
    </cfRule>
  </conditionalFormatting>
  <conditionalFormatting sqref="J5:J23">
    <cfRule type="expression" dxfId="50" priority="1">
      <formula>$T5=5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3C73-C49E-A140-A46F-D1DF45250361}">
  <dimension ref="A1:M25"/>
  <sheetViews>
    <sheetView workbookViewId="0">
      <selection activeCell="J65" sqref="J65"/>
    </sheetView>
  </sheetViews>
  <sheetFormatPr baseColWidth="10" defaultRowHeight="16" x14ac:dyDescent="0.2"/>
  <cols>
    <col min="10" max="10" width="17.1640625" customWidth="1"/>
    <col min="11" max="11" width="16" customWidth="1"/>
    <col min="12" max="12" width="17.5" customWidth="1"/>
  </cols>
  <sheetData>
    <row r="1" spans="1:13" x14ac:dyDescent="0.2">
      <c r="A1" s="10" t="s">
        <v>470</v>
      </c>
      <c r="B1" s="11"/>
      <c r="C1" s="1"/>
      <c r="D1" s="1"/>
      <c r="E1" s="1"/>
      <c r="F1" s="1"/>
      <c r="G1" s="1"/>
      <c r="H1" s="10"/>
      <c r="I1" s="11"/>
      <c r="J1" s="19"/>
      <c r="K1" s="2"/>
      <c r="L1" s="11"/>
      <c r="M1" s="2"/>
    </row>
    <row r="2" spans="1:13" x14ac:dyDescent="0.2">
      <c r="A2" s="10" t="s">
        <v>1</v>
      </c>
      <c r="B2" s="10">
        <f>COUNTA(A5:A25)</f>
        <v>21</v>
      </c>
      <c r="C2" s="1"/>
      <c r="D2" s="1" t="s">
        <v>2</v>
      </c>
      <c r="E2" s="1">
        <f>COUNTA(C5:G25)-COUNTIFS(C5:G25,"=N/A")</f>
        <v>97</v>
      </c>
      <c r="F2" s="1"/>
      <c r="G2" s="1"/>
      <c r="H2" s="10"/>
      <c r="I2" s="11"/>
      <c r="J2" s="19"/>
      <c r="K2" s="2"/>
      <c r="L2" s="11"/>
      <c r="M2" s="2"/>
    </row>
    <row r="3" spans="1:13" x14ac:dyDescent="0.2">
      <c r="A3" s="11"/>
      <c r="B3" s="11"/>
      <c r="C3" s="2"/>
      <c r="D3" s="2"/>
      <c r="E3" s="2"/>
      <c r="F3" s="2"/>
      <c r="G3" s="2"/>
      <c r="H3" s="11"/>
      <c r="I3" s="11"/>
      <c r="J3" s="19"/>
      <c r="K3" s="2"/>
      <c r="L3" s="11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5" t="s">
        <v>13</v>
      </c>
      <c r="L4" s="6" t="s">
        <v>14</v>
      </c>
      <c r="M4" s="5" t="s">
        <v>15</v>
      </c>
    </row>
    <row r="5" spans="1:13" x14ac:dyDescent="0.2">
      <c r="A5" s="14" t="s">
        <v>471</v>
      </c>
      <c r="B5" s="14">
        <v>4</v>
      </c>
      <c r="C5" s="17" t="s">
        <v>472</v>
      </c>
      <c r="D5" s="17" t="s">
        <v>473</v>
      </c>
      <c r="E5" s="17" t="s">
        <v>474</v>
      </c>
      <c r="F5" s="14" t="s">
        <v>29</v>
      </c>
      <c r="G5" s="17" t="s">
        <v>475</v>
      </c>
      <c r="H5" s="14">
        <v>65</v>
      </c>
      <c r="I5" s="14" t="s">
        <v>22</v>
      </c>
      <c r="J5" s="14" t="s">
        <v>476</v>
      </c>
      <c r="K5" s="14"/>
      <c r="L5" s="12"/>
      <c r="M5" s="14"/>
    </row>
    <row r="6" spans="1:13" x14ac:dyDescent="0.2">
      <c r="A6" s="14" t="s">
        <v>477</v>
      </c>
      <c r="B6" s="14">
        <v>5</v>
      </c>
      <c r="C6" s="17" t="s">
        <v>478</v>
      </c>
      <c r="D6" s="17" t="s">
        <v>479</v>
      </c>
      <c r="E6" s="17" t="s">
        <v>480</v>
      </c>
      <c r="F6" s="17" t="s">
        <v>481</v>
      </c>
      <c r="G6" s="17" t="s">
        <v>482</v>
      </c>
      <c r="H6" s="14">
        <v>38</v>
      </c>
      <c r="I6" s="14" t="s">
        <v>31</v>
      </c>
      <c r="J6" s="14" t="s">
        <v>476</v>
      </c>
      <c r="K6" s="14"/>
      <c r="L6" s="12"/>
      <c r="M6" s="14"/>
    </row>
    <row r="7" spans="1:13" x14ac:dyDescent="0.2">
      <c r="A7" s="14" t="s">
        <v>483</v>
      </c>
      <c r="B7" s="14">
        <v>5</v>
      </c>
      <c r="C7" s="17" t="s">
        <v>484</v>
      </c>
      <c r="D7" s="17" t="s">
        <v>485</v>
      </c>
      <c r="E7" s="17" t="s">
        <v>486</v>
      </c>
      <c r="F7" s="17" t="s">
        <v>487</v>
      </c>
      <c r="G7" s="17" t="s">
        <v>488</v>
      </c>
      <c r="H7" s="14">
        <v>66</v>
      </c>
      <c r="I7" s="14" t="s">
        <v>31</v>
      </c>
      <c r="J7" s="14" t="s">
        <v>476</v>
      </c>
      <c r="K7" s="14"/>
      <c r="L7" s="12"/>
      <c r="M7" s="14"/>
    </row>
    <row r="8" spans="1:13" x14ac:dyDescent="0.2">
      <c r="A8" s="14" t="s">
        <v>489</v>
      </c>
      <c r="B8" s="14">
        <v>5</v>
      </c>
      <c r="C8" s="17" t="s">
        <v>490</v>
      </c>
      <c r="D8" s="17" t="s">
        <v>491</v>
      </c>
      <c r="E8" s="17" t="s">
        <v>492</v>
      </c>
      <c r="F8" s="17" t="s">
        <v>493</v>
      </c>
      <c r="G8" s="17" t="s">
        <v>494</v>
      </c>
      <c r="H8" s="14">
        <v>65</v>
      </c>
      <c r="I8" s="14" t="s">
        <v>31</v>
      </c>
      <c r="J8" s="14" t="s">
        <v>476</v>
      </c>
      <c r="K8" s="14"/>
      <c r="L8" s="12"/>
      <c r="M8" s="14"/>
    </row>
    <row r="9" spans="1:13" x14ac:dyDescent="0.2">
      <c r="A9" s="14" t="s">
        <v>495</v>
      </c>
      <c r="B9" s="14">
        <v>5</v>
      </c>
      <c r="C9" s="17" t="s">
        <v>496</v>
      </c>
      <c r="D9" s="17" t="s">
        <v>497</v>
      </c>
      <c r="E9" s="17" t="s">
        <v>498</v>
      </c>
      <c r="F9" s="17" t="s">
        <v>499</v>
      </c>
      <c r="G9" s="17" t="s">
        <v>500</v>
      </c>
      <c r="H9" s="14">
        <v>77</v>
      </c>
      <c r="I9" s="14" t="s">
        <v>22</v>
      </c>
      <c r="J9" s="14" t="s">
        <v>476</v>
      </c>
      <c r="K9" s="14"/>
      <c r="L9" s="12"/>
      <c r="M9" s="14"/>
    </row>
    <row r="10" spans="1:13" x14ac:dyDescent="0.2">
      <c r="A10" s="14" t="s">
        <v>501</v>
      </c>
      <c r="B10" s="14">
        <v>4</v>
      </c>
      <c r="C10" s="17" t="s">
        <v>502</v>
      </c>
      <c r="D10" s="17" t="s">
        <v>503</v>
      </c>
      <c r="E10" s="17" t="s">
        <v>504</v>
      </c>
      <c r="F10" s="14" t="s">
        <v>29</v>
      </c>
      <c r="G10" s="17" t="s">
        <v>505</v>
      </c>
      <c r="H10" s="14">
        <v>71</v>
      </c>
      <c r="I10" s="14" t="s">
        <v>22</v>
      </c>
      <c r="J10" s="14" t="s">
        <v>506</v>
      </c>
      <c r="K10" s="14"/>
      <c r="L10" s="12"/>
      <c r="M10" s="14"/>
    </row>
    <row r="11" spans="1:13" x14ac:dyDescent="0.2">
      <c r="A11" s="14" t="s">
        <v>507</v>
      </c>
      <c r="B11" s="14">
        <v>5</v>
      </c>
      <c r="C11" s="17" t="s">
        <v>508</v>
      </c>
      <c r="D11" s="17" t="s">
        <v>509</v>
      </c>
      <c r="E11" s="17" t="s">
        <v>510</v>
      </c>
      <c r="F11" s="17" t="s">
        <v>511</v>
      </c>
      <c r="G11" s="17" t="s">
        <v>512</v>
      </c>
      <c r="H11" s="14">
        <v>57</v>
      </c>
      <c r="I11" s="14" t="s">
        <v>31</v>
      </c>
      <c r="J11" s="14" t="s">
        <v>476</v>
      </c>
      <c r="K11" s="14"/>
      <c r="L11" s="12"/>
      <c r="M11" s="14"/>
    </row>
    <row r="12" spans="1:13" x14ac:dyDescent="0.2">
      <c r="A12" s="14" t="s">
        <v>513</v>
      </c>
      <c r="B12" s="14">
        <v>5</v>
      </c>
      <c r="C12" s="17" t="s">
        <v>514</v>
      </c>
      <c r="D12" s="17" t="s">
        <v>515</v>
      </c>
      <c r="E12" s="17" t="s">
        <v>516</v>
      </c>
      <c r="F12" s="17" t="s">
        <v>517</v>
      </c>
      <c r="G12" s="17" t="s">
        <v>518</v>
      </c>
      <c r="H12" s="14">
        <v>39</v>
      </c>
      <c r="I12" s="14" t="s">
        <v>31</v>
      </c>
      <c r="J12" s="14" t="s">
        <v>476</v>
      </c>
      <c r="K12" s="14"/>
      <c r="L12" s="12"/>
      <c r="M12" s="14"/>
    </row>
    <row r="13" spans="1:13" x14ac:dyDescent="0.2">
      <c r="A13" s="14" t="s">
        <v>519</v>
      </c>
      <c r="B13" s="14">
        <v>5</v>
      </c>
      <c r="C13" s="17" t="s">
        <v>520</v>
      </c>
      <c r="D13" s="17" t="s">
        <v>521</v>
      </c>
      <c r="E13" s="17" t="s">
        <v>522</v>
      </c>
      <c r="F13" s="17" t="s">
        <v>523</v>
      </c>
      <c r="G13" s="17" t="s">
        <v>524</v>
      </c>
      <c r="H13" s="14">
        <v>73</v>
      </c>
      <c r="I13" s="14" t="s">
        <v>31</v>
      </c>
      <c r="J13" s="14" t="s">
        <v>476</v>
      </c>
      <c r="K13" s="14"/>
      <c r="L13" s="12"/>
      <c r="M13" s="14"/>
    </row>
    <row r="14" spans="1:13" x14ac:dyDescent="0.2">
      <c r="A14" s="14" t="s">
        <v>525</v>
      </c>
      <c r="B14" s="14">
        <v>5</v>
      </c>
      <c r="C14" s="17" t="s">
        <v>526</v>
      </c>
      <c r="D14" s="17" t="s">
        <v>527</v>
      </c>
      <c r="E14" s="17" t="s">
        <v>528</v>
      </c>
      <c r="F14" s="17" t="s">
        <v>529</v>
      </c>
      <c r="G14" s="17" t="s">
        <v>530</v>
      </c>
      <c r="H14" s="14">
        <v>70</v>
      </c>
      <c r="I14" s="14" t="s">
        <v>22</v>
      </c>
      <c r="J14" s="14" t="s">
        <v>476</v>
      </c>
      <c r="K14" s="14"/>
      <c r="L14" s="12"/>
      <c r="M14" s="14"/>
    </row>
    <row r="15" spans="1:13" x14ac:dyDescent="0.2">
      <c r="A15" s="14" t="s">
        <v>531</v>
      </c>
      <c r="B15" s="14">
        <v>5</v>
      </c>
      <c r="C15" s="17" t="s">
        <v>532</v>
      </c>
      <c r="D15" s="17" t="s">
        <v>533</v>
      </c>
      <c r="E15" s="17" t="s">
        <v>534</v>
      </c>
      <c r="F15" s="17" t="s">
        <v>535</v>
      </c>
      <c r="G15" s="17" t="s">
        <v>536</v>
      </c>
      <c r="H15" s="14">
        <v>52</v>
      </c>
      <c r="I15" s="14" t="s">
        <v>31</v>
      </c>
      <c r="J15" s="14" t="s">
        <v>476</v>
      </c>
      <c r="K15" s="14"/>
      <c r="L15" s="12"/>
      <c r="M15" s="14"/>
    </row>
    <row r="16" spans="1:13" x14ac:dyDescent="0.2">
      <c r="A16" s="14" t="s">
        <v>537</v>
      </c>
      <c r="B16" s="14">
        <v>4</v>
      </c>
      <c r="C16" s="17" t="s">
        <v>538</v>
      </c>
      <c r="D16" s="17" t="s">
        <v>539</v>
      </c>
      <c r="E16" s="17" t="s">
        <v>540</v>
      </c>
      <c r="F16" s="17" t="s">
        <v>541</v>
      </c>
      <c r="G16" s="14" t="s">
        <v>29</v>
      </c>
      <c r="H16" s="14">
        <v>60</v>
      </c>
      <c r="I16" s="14" t="s">
        <v>31</v>
      </c>
      <c r="J16" s="14" t="s">
        <v>506</v>
      </c>
      <c r="K16" s="14"/>
      <c r="L16" s="12"/>
      <c r="M16" s="14"/>
    </row>
    <row r="17" spans="1:13" x14ac:dyDescent="0.2">
      <c r="A17" s="14" t="s">
        <v>542</v>
      </c>
      <c r="B17" s="14">
        <v>5</v>
      </c>
      <c r="C17" s="17" t="s">
        <v>543</v>
      </c>
      <c r="D17" s="17" t="s">
        <v>544</v>
      </c>
      <c r="E17" s="17" t="s">
        <v>545</v>
      </c>
      <c r="F17" s="17" t="s">
        <v>546</v>
      </c>
      <c r="G17" s="17" t="s">
        <v>547</v>
      </c>
      <c r="H17" s="14">
        <v>33</v>
      </c>
      <c r="I17" s="14" t="s">
        <v>31</v>
      </c>
      <c r="J17" s="14" t="s">
        <v>476</v>
      </c>
      <c r="K17" s="14"/>
      <c r="L17" s="12"/>
      <c r="M17" s="14"/>
    </row>
    <row r="18" spans="1:13" x14ac:dyDescent="0.2">
      <c r="A18" s="14" t="s">
        <v>548</v>
      </c>
      <c r="B18" s="14">
        <v>5</v>
      </c>
      <c r="C18" s="17" t="s">
        <v>549</v>
      </c>
      <c r="D18" s="17" t="s">
        <v>550</v>
      </c>
      <c r="E18" s="17" t="s">
        <v>551</v>
      </c>
      <c r="F18" s="17" t="s">
        <v>552</v>
      </c>
      <c r="G18" s="17" t="s">
        <v>553</v>
      </c>
      <c r="H18" s="14">
        <v>58</v>
      </c>
      <c r="I18" s="14" t="s">
        <v>22</v>
      </c>
      <c r="J18" s="14" t="s">
        <v>506</v>
      </c>
      <c r="K18" s="14"/>
      <c r="L18" s="12"/>
      <c r="M18" s="14"/>
    </row>
    <row r="19" spans="1:13" x14ac:dyDescent="0.2">
      <c r="A19" s="14" t="s">
        <v>554</v>
      </c>
      <c r="B19" s="14">
        <v>5</v>
      </c>
      <c r="C19" s="17" t="s">
        <v>555</v>
      </c>
      <c r="D19" s="17" t="s">
        <v>556</v>
      </c>
      <c r="E19" s="17" t="s">
        <v>557</v>
      </c>
      <c r="F19" s="17" t="s">
        <v>558</v>
      </c>
      <c r="G19" s="17" t="s">
        <v>559</v>
      </c>
      <c r="H19" s="14">
        <v>54</v>
      </c>
      <c r="I19" s="14" t="s">
        <v>31</v>
      </c>
      <c r="J19" s="14" t="s">
        <v>476</v>
      </c>
      <c r="K19" s="14"/>
      <c r="L19" s="12"/>
      <c r="M19" s="14"/>
    </row>
    <row r="20" spans="1:13" x14ac:dyDescent="0.2">
      <c r="A20" s="14" t="s">
        <v>560</v>
      </c>
      <c r="B20" s="14">
        <v>4</v>
      </c>
      <c r="C20" s="17" t="s">
        <v>561</v>
      </c>
      <c r="D20" s="17" t="s">
        <v>562</v>
      </c>
      <c r="E20" s="17" t="s">
        <v>563</v>
      </c>
      <c r="F20" s="17" t="s">
        <v>564</v>
      </c>
      <c r="G20" s="14" t="s">
        <v>29</v>
      </c>
      <c r="H20" s="14">
        <v>45</v>
      </c>
      <c r="I20" s="14" t="s">
        <v>22</v>
      </c>
      <c r="J20" s="14" t="s">
        <v>476</v>
      </c>
      <c r="K20" s="14"/>
      <c r="L20" s="12"/>
      <c r="M20" s="14"/>
    </row>
    <row r="21" spans="1:13" x14ac:dyDescent="0.2">
      <c r="A21" s="14" t="s">
        <v>565</v>
      </c>
      <c r="B21" s="14">
        <v>5</v>
      </c>
      <c r="C21" s="17" t="s">
        <v>566</v>
      </c>
      <c r="D21" s="17" t="s">
        <v>567</v>
      </c>
      <c r="E21" s="17" t="s">
        <v>568</v>
      </c>
      <c r="F21" s="17" t="s">
        <v>569</v>
      </c>
      <c r="G21" s="17" t="s">
        <v>570</v>
      </c>
      <c r="H21" s="14">
        <v>32</v>
      </c>
      <c r="I21" s="14" t="s">
        <v>22</v>
      </c>
      <c r="J21" s="14" t="s">
        <v>476</v>
      </c>
      <c r="K21" s="14"/>
      <c r="L21" s="12"/>
      <c r="M21" s="14"/>
    </row>
    <row r="22" spans="1:13" x14ac:dyDescent="0.2">
      <c r="A22" s="14" t="s">
        <v>571</v>
      </c>
      <c r="B22" s="14">
        <v>3</v>
      </c>
      <c r="C22" s="17" t="s">
        <v>572</v>
      </c>
      <c r="D22" s="17" t="s">
        <v>573</v>
      </c>
      <c r="E22" s="17" t="s">
        <v>574</v>
      </c>
      <c r="F22" s="14" t="s">
        <v>29</v>
      </c>
      <c r="G22" s="14" t="s">
        <v>29</v>
      </c>
      <c r="H22" s="14">
        <v>25</v>
      </c>
      <c r="I22" s="14" t="s">
        <v>22</v>
      </c>
      <c r="J22" s="14" t="s">
        <v>476</v>
      </c>
      <c r="K22" s="14"/>
      <c r="L22" s="12"/>
      <c r="M22" s="14"/>
    </row>
    <row r="23" spans="1:13" x14ac:dyDescent="0.2">
      <c r="A23" s="14" t="s">
        <v>575</v>
      </c>
      <c r="B23" s="14">
        <v>4</v>
      </c>
      <c r="C23" s="17" t="s">
        <v>576</v>
      </c>
      <c r="D23" s="17" t="s">
        <v>577</v>
      </c>
      <c r="E23" s="17" t="s">
        <v>578</v>
      </c>
      <c r="F23" s="14" t="s">
        <v>29</v>
      </c>
      <c r="G23" s="17" t="s">
        <v>579</v>
      </c>
      <c r="H23" s="14">
        <v>21</v>
      </c>
      <c r="I23" s="14" t="s">
        <v>31</v>
      </c>
      <c r="J23" s="14" t="s">
        <v>580</v>
      </c>
      <c r="K23" s="14"/>
      <c r="L23" s="12"/>
      <c r="M23" s="14"/>
    </row>
    <row r="24" spans="1:13" x14ac:dyDescent="0.2">
      <c r="A24" s="14" t="s">
        <v>581</v>
      </c>
      <c r="B24" s="14">
        <v>4</v>
      </c>
      <c r="C24" s="17" t="s">
        <v>582</v>
      </c>
      <c r="D24" s="17" t="s">
        <v>583</v>
      </c>
      <c r="E24" s="17" t="s">
        <v>584</v>
      </c>
      <c r="F24" s="17" t="s">
        <v>585</v>
      </c>
      <c r="G24" s="14" t="s">
        <v>29</v>
      </c>
      <c r="H24" s="14">
        <v>43</v>
      </c>
      <c r="I24" s="14" t="s">
        <v>22</v>
      </c>
      <c r="J24" s="14" t="s">
        <v>476</v>
      </c>
      <c r="K24" s="14"/>
      <c r="L24" s="12"/>
      <c r="M24" s="14"/>
    </row>
    <row r="25" spans="1:13" x14ac:dyDescent="0.2">
      <c r="A25" s="14" t="s">
        <v>586</v>
      </c>
      <c r="B25" s="14">
        <v>5</v>
      </c>
      <c r="C25" s="17" t="s">
        <v>587</v>
      </c>
      <c r="D25" s="17" t="s">
        <v>588</v>
      </c>
      <c r="E25" s="17" t="s">
        <v>589</v>
      </c>
      <c r="F25" s="17" t="s">
        <v>590</v>
      </c>
      <c r="G25" s="17" t="s">
        <v>591</v>
      </c>
      <c r="H25" s="14">
        <v>62</v>
      </c>
      <c r="I25" s="14" t="s">
        <v>22</v>
      </c>
      <c r="J25" s="14" t="s">
        <v>592</v>
      </c>
      <c r="K25" s="14"/>
      <c r="L25" s="12"/>
      <c r="M25" s="14"/>
    </row>
  </sheetData>
  <conditionalFormatting sqref="K5:M25 C5:G25">
    <cfRule type="expression" dxfId="49" priority="5">
      <formula>#REF!=5</formula>
    </cfRule>
  </conditionalFormatting>
  <conditionalFormatting sqref="A5:A25">
    <cfRule type="expression" dxfId="48" priority="4">
      <formula>$T5=5</formula>
    </cfRule>
  </conditionalFormatting>
  <conditionalFormatting sqref="H5:I25">
    <cfRule type="expression" dxfId="47" priority="3">
      <formula>$T5=5</formula>
    </cfRule>
  </conditionalFormatting>
  <conditionalFormatting sqref="B5:B25">
    <cfRule type="expression" dxfId="46" priority="2">
      <formula>$T5=5</formula>
    </cfRule>
  </conditionalFormatting>
  <conditionalFormatting sqref="J5:J25">
    <cfRule type="expression" dxfId="45" priority="1">
      <formula>$T5=5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052E-5A94-CE49-A3EF-3331FF31762E}">
  <dimension ref="A1:M16"/>
  <sheetViews>
    <sheetView workbookViewId="0">
      <selection activeCell="L24" sqref="L24"/>
    </sheetView>
  </sheetViews>
  <sheetFormatPr baseColWidth="10" defaultRowHeight="16" x14ac:dyDescent="0.2"/>
  <cols>
    <col min="10" max="10" width="49.1640625" customWidth="1"/>
    <col min="11" max="11" width="27.33203125" customWidth="1"/>
    <col min="12" max="12" width="18.33203125" customWidth="1"/>
  </cols>
  <sheetData>
    <row r="1" spans="1:13" x14ac:dyDescent="0.2">
      <c r="A1" s="10" t="s">
        <v>593</v>
      </c>
      <c r="B1" s="11"/>
      <c r="C1" s="1"/>
      <c r="D1" s="1"/>
      <c r="E1" s="1"/>
      <c r="F1" s="1"/>
      <c r="G1" s="1"/>
      <c r="H1" s="10"/>
      <c r="I1" s="11"/>
      <c r="J1" s="11"/>
      <c r="K1" s="2"/>
      <c r="L1" s="11"/>
      <c r="M1" s="2"/>
    </row>
    <row r="2" spans="1:13" x14ac:dyDescent="0.2">
      <c r="A2" s="10" t="s">
        <v>1</v>
      </c>
      <c r="B2" s="10">
        <f>COUNTA(A5:A16)</f>
        <v>12</v>
      </c>
      <c r="C2" s="1"/>
      <c r="D2" s="1" t="s">
        <v>2</v>
      </c>
      <c r="E2" s="1">
        <f>COUNTA(C5:G16)-COUNTIFS(C5:G16,"=N/A")</f>
        <v>57</v>
      </c>
      <c r="F2" s="1"/>
      <c r="G2" s="1"/>
      <c r="H2" s="10"/>
      <c r="I2" s="11"/>
      <c r="J2" s="11"/>
      <c r="K2" s="2"/>
      <c r="L2" s="11"/>
      <c r="M2" s="2"/>
    </row>
    <row r="3" spans="1:13" x14ac:dyDescent="0.2">
      <c r="A3" s="11"/>
      <c r="B3" s="11"/>
      <c r="C3" s="2"/>
      <c r="D3" s="2"/>
      <c r="E3" s="2"/>
      <c r="F3" s="2"/>
      <c r="G3" s="2"/>
      <c r="H3" s="11"/>
      <c r="I3" s="11"/>
      <c r="J3" s="11"/>
      <c r="K3" s="2"/>
      <c r="L3" s="11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5" t="s">
        <v>14</v>
      </c>
      <c r="M4" s="5" t="s">
        <v>15</v>
      </c>
    </row>
    <row r="5" spans="1:13" x14ac:dyDescent="0.2">
      <c r="A5" s="14" t="s">
        <v>594</v>
      </c>
      <c r="B5" s="14">
        <v>4</v>
      </c>
      <c r="C5" s="17" t="s">
        <v>595</v>
      </c>
      <c r="D5" s="17" t="s">
        <v>596</v>
      </c>
      <c r="E5" s="17" t="s">
        <v>597</v>
      </c>
      <c r="F5" s="14" t="s">
        <v>29</v>
      </c>
      <c r="G5" s="17" t="s">
        <v>598</v>
      </c>
      <c r="H5" s="14">
        <v>29</v>
      </c>
      <c r="I5" s="14" t="s">
        <v>31</v>
      </c>
      <c r="J5" s="18" t="s">
        <v>599</v>
      </c>
      <c r="K5" s="14"/>
      <c r="L5" s="12"/>
      <c r="M5" s="14"/>
    </row>
    <row r="6" spans="1:13" x14ac:dyDescent="0.2">
      <c r="A6" s="14" t="s">
        <v>600</v>
      </c>
      <c r="B6" s="14">
        <v>5</v>
      </c>
      <c r="C6" s="17" t="s">
        <v>601</v>
      </c>
      <c r="D6" s="17" t="s">
        <v>602</v>
      </c>
      <c r="E6" s="17" t="s">
        <v>603</v>
      </c>
      <c r="F6" s="17" t="s">
        <v>604</v>
      </c>
      <c r="G6" s="17" t="s">
        <v>605</v>
      </c>
      <c r="H6" s="14">
        <v>40</v>
      </c>
      <c r="I6" s="14" t="s">
        <v>22</v>
      </c>
      <c r="J6" s="18" t="s">
        <v>606</v>
      </c>
      <c r="K6" s="14"/>
      <c r="L6" s="12"/>
      <c r="M6" s="14"/>
    </row>
    <row r="7" spans="1:13" x14ac:dyDescent="0.2">
      <c r="A7" s="14" t="s">
        <v>607</v>
      </c>
      <c r="B7" s="14">
        <v>5</v>
      </c>
      <c r="C7" s="17" t="s">
        <v>608</v>
      </c>
      <c r="D7" s="17" t="s">
        <v>609</v>
      </c>
      <c r="E7" s="17" t="s">
        <v>610</v>
      </c>
      <c r="F7" s="17" t="s">
        <v>611</v>
      </c>
      <c r="G7" s="17" t="s">
        <v>612</v>
      </c>
      <c r="H7" s="14">
        <v>19</v>
      </c>
      <c r="I7" s="14" t="s">
        <v>31</v>
      </c>
      <c r="J7" s="20" t="s">
        <v>599</v>
      </c>
      <c r="K7" s="14"/>
      <c r="L7" s="12"/>
      <c r="M7" s="14"/>
    </row>
    <row r="8" spans="1:13" x14ac:dyDescent="0.2">
      <c r="A8" s="14" t="s">
        <v>613</v>
      </c>
      <c r="B8" s="14">
        <v>4</v>
      </c>
      <c r="C8" s="17" t="s">
        <v>614</v>
      </c>
      <c r="D8" s="17" t="s">
        <v>615</v>
      </c>
      <c r="E8" s="17" t="s">
        <v>616</v>
      </c>
      <c r="F8" s="17" t="s">
        <v>617</v>
      </c>
      <c r="G8" s="14" t="s">
        <v>29</v>
      </c>
      <c r="H8" s="14">
        <v>1</v>
      </c>
      <c r="I8" s="14" t="s">
        <v>31</v>
      </c>
      <c r="J8" s="18" t="s">
        <v>618</v>
      </c>
      <c r="K8" s="14" t="s">
        <v>81</v>
      </c>
      <c r="L8" s="12"/>
      <c r="M8" s="14"/>
    </row>
    <row r="9" spans="1:13" x14ac:dyDescent="0.2">
      <c r="A9" s="14" t="s">
        <v>619</v>
      </c>
      <c r="B9" s="14">
        <v>5</v>
      </c>
      <c r="C9" s="17" t="s">
        <v>620</v>
      </c>
      <c r="D9" s="17" t="s">
        <v>621</v>
      </c>
      <c r="E9" s="17" t="s">
        <v>622</v>
      </c>
      <c r="F9" s="17" t="s">
        <v>623</v>
      </c>
      <c r="G9" s="17" t="s">
        <v>624</v>
      </c>
      <c r="H9" s="14">
        <v>20</v>
      </c>
      <c r="I9" s="14" t="s">
        <v>22</v>
      </c>
      <c r="J9" s="18" t="s">
        <v>625</v>
      </c>
      <c r="K9" s="14"/>
      <c r="L9" s="12"/>
      <c r="M9" s="14"/>
    </row>
    <row r="10" spans="1:13" x14ac:dyDescent="0.2">
      <c r="A10" s="14" t="s">
        <v>626</v>
      </c>
      <c r="B10" s="14">
        <v>5</v>
      </c>
      <c r="C10" s="17" t="s">
        <v>627</v>
      </c>
      <c r="D10" s="17" t="s">
        <v>628</v>
      </c>
      <c r="E10" s="17" t="s">
        <v>629</v>
      </c>
      <c r="F10" s="17" t="s">
        <v>630</v>
      </c>
      <c r="G10" s="17" t="s">
        <v>631</v>
      </c>
      <c r="H10" s="14">
        <v>3</v>
      </c>
      <c r="I10" s="14" t="s">
        <v>22</v>
      </c>
      <c r="J10" s="18" t="s">
        <v>632</v>
      </c>
      <c r="K10" s="14" t="s">
        <v>633</v>
      </c>
      <c r="L10" s="12"/>
      <c r="M10" s="14"/>
    </row>
    <row r="11" spans="1:13" x14ac:dyDescent="0.2">
      <c r="A11" s="14" t="s">
        <v>634</v>
      </c>
      <c r="B11" s="14">
        <v>5</v>
      </c>
      <c r="C11" s="17" t="s">
        <v>635</v>
      </c>
      <c r="D11" s="17" t="s">
        <v>636</v>
      </c>
      <c r="E11" s="17" t="s">
        <v>637</v>
      </c>
      <c r="F11" s="17" t="s">
        <v>638</v>
      </c>
      <c r="G11" s="17" t="s">
        <v>639</v>
      </c>
      <c r="H11" s="14">
        <v>1</v>
      </c>
      <c r="I11" s="14" t="s">
        <v>22</v>
      </c>
      <c r="J11" s="18" t="s">
        <v>618</v>
      </c>
      <c r="K11" s="14" t="s">
        <v>81</v>
      </c>
      <c r="L11" s="12"/>
      <c r="M11" s="14"/>
    </row>
    <row r="12" spans="1:13" x14ac:dyDescent="0.2">
      <c r="A12" s="14" t="s">
        <v>640</v>
      </c>
      <c r="B12" s="14">
        <v>5</v>
      </c>
      <c r="C12" s="17" t="s">
        <v>641</v>
      </c>
      <c r="D12" s="17" t="s">
        <v>642</v>
      </c>
      <c r="E12" s="17" t="s">
        <v>643</v>
      </c>
      <c r="F12" s="17" t="s">
        <v>644</v>
      </c>
      <c r="G12" s="17" t="s">
        <v>645</v>
      </c>
      <c r="H12" s="14">
        <v>27</v>
      </c>
      <c r="I12" s="14" t="s">
        <v>31</v>
      </c>
      <c r="J12" s="18" t="s">
        <v>646</v>
      </c>
      <c r="K12" s="14"/>
      <c r="L12" s="12"/>
      <c r="M12" s="14"/>
    </row>
    <row r="13" spans="1:13" x14ac:dyDescent="0.2">
      <c r="A13" s="14" t="s">
        <v>647</v>
      </c>
      <c r="B13" s="14">
        <v>5</v>
      </c>
      <c r="C13" s="17" t="s">
        <v>648</v>
      </c>
      <c r="D13" s="17" t="s">
        <v>649</v>
      </c>
      <c r="E13" s="17" t="s">
        <v>650</v>
      </c>
      <c r="F13" s="17" t="s">
        <v>651</v>
      </c>
      <c r="G13" s="17" t="s">
        <v>652</v>
      </c>
      <c r="H13" s="14">
        <v>1</v>
      </c>
      <c r="I13" s="14" t="s">
        <v>31</v>
      </c>
      <c r="J13" s="18" t="s">
        <v>653</v>
      </c>
      <c r="K13" s="14" t="s">
        <v>654</v>
      </c>
      <c r="L13" s="12"/>
      <c r="M13" s="14"/>
    </row>
    <row r="14" spans="1:13" x14ac:dyDescent="0.2">
      <c r="A14" s="14" t="s">
        <v>655</v>
      </c>
      <c r="B14" s="14">
        <v>4</v>
      </c>
      <c r="C14" s="17" t="s">
        <v>656</v>
      </c>
      <c r="D14" s="17" t="s">
        <v>657</v>
      </c>
      <c r="E14" s="17" t="s">
        <v>658</v>
      </c>
      <c r="F14" s="14" t="s">
        <v>29</v>
      </c>
      <c r="G14" s="17" t="s">
        <v>659</v>
      </c>
      <c r="H14" s="14">
        <v>28</v>
      </c>
      <c r="I14" s="14" t="s">
        <v>22</v>
      </c>
      <c r="J14" s="18" t="s">
        <v>660</v>
      </c>
      <c r="K14" s="14"/>
      <c r="L14" s="12"/>
      <c r="M14" s="14"/>
    </row>
    <row r="15" spans="1:13" x14ac:dyDescent="0.2">
      <c r="A15" s="14" t="s">
        <v>661</v>
      </c>
      <c r="B15" s="14">
        <v>5</v>
      </c>
      <c r="C15" s="17" t="s">
        <v>662</v>
      </c>
      <c r="D15" s="17" t="s">
        <v>663</v>
      </c>
      <c r="E15" s="17" t="s">
        <v>664</v>
      </c>
      <c r="F15" s="17" t="s">
        <v>665</v>
      </c>
      <c r="G15" s="17" t="s">
        <v>666</v>
      </c>
      <c r="H15" s="14">
        <v>14</v>
      </c>
      <c r="I15" s="14" t="s">
        <v>31</v>
      </c>
      <c r="J15" s="18" t="s">
        <v>667</v>
      </c>
      <c r="K15" s="14"/>
      <c r="L15" s="12"/>
      <c r="M15" s="14"/>
    </row>
    <row r="16" spans="1:13" x14ac:dyDescent="0.2">
      <c r="A16" s="14" t="s">
        <v>668</v>
      </c>
      <c r="B16" s="14">
        <v>5</v>
      </c>
      <c r="C16" s="17" t="s">
        <v>669</v>
      </c>
      <c r="D16" s="17" t="s">
        <v>670</v>
      </c>
      <c r="E16" s="17" t="s">
        <v>671</v>
      </c>
      <c r="F16" s="17" t="s">
        <v>672</v>
      </c>
      <c r="G16" s="17" t="s">
        <v>673</v>
      </c>
      <c r="H16" s="14">
        <v>17</v>
      </c>
      <c r="I16" s="14" t="s">
        <v>31</v>
      </c>
      <c r="J16" s="18" t="s">
        <v>674</v>
      </c>
      <c r="K16" s="14" t="s">
        <v>146</v>
      </c>
      <c r="L16" s="12"/>
      <c r="M16" s="14"/>
    </row>
  </sheetData>
  <conditionalFormatting sqref="K5:M16">
    <cfRule type="expression" dxfId="44" priority="5">
      <formula>#REF!=5</formula>
    </cfRule>
  </conditionalFormatting>
  <conditionalFormatting sqref="A5:A16">
    <cfRule type="expression" dxfId="43" priority="4">
      <formula>$Q5=5</formula>
    </cfRule>
  </conditionalFormatting>
  <conditionalFormatting sqref="H5:I16">
    <cfRule type="expression" dxfId="42" priority="3">
      <formula>$Q5=5</formula>
    </cfRule>
  </conditionalFormatting>
  <conditionalFormatting sqref="J5:J16">
    <cfRule type="expression" dxfId="41" priority="2">
      <formula>$Q5=5</formula>
    </cfRule>
  </conditionalFormatting>
  <conditionalFormatting sqref="B5:B16">
    <cfRule type="expression" dxfId="40" priority="1">
      <formula>$Q5=5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0DE2-8633-1848-9F81-EA9E1BA146F6}">
  <dimension ref="A1:M12"/>
  <sheetViews>
    <sheetView workbookViewId="0">
      <selection activeCell="F6" sqref="F6"/>
    </sheetView>
  </sheetViews>
  <sheetFormatPr baseColWidth="10" defaultRowHeight="16" x14ac:dyDescent="0.2"/>
  <cols>
    <col min="10" max="10" width="16" customWidth="1"/>
    <col min="11" max="11" width="20" customWidth="1"/>
  </cols>
  <sheetData>
    <row r="1" spans="1:13" x14ac:dyDescent="0.2">
      <c r="A1" s="10" t="s">
        <v>675</v>
      </c>
      <c r="B1" s="11"/>
      <c r="C1" s="1"/>
      <c r="D1" s="1"/>
      <c r="E1" s="1"/>
      <c r="F1" s="1"/>
      <c r="G1" s="1"/>
      <c r="H1" s="10"/>
      <c r="I1" s="11"/>
      <c r="J1" s="11"/>
      <c r="K1" s="2"/>
      <c r="L1" s="11"/>
      <c r="M1" s="2"/>
    </row>
    <row r="2" spans="1:13" x14ac:dyDescent="0.2">
      <c r="A2" s="10" t="s">
        <v>1</v>
      </c>
      <c r="B2" s="10">
        <f>COUNTA(A5:A12)</f>
        <v>8</v>
      </c>
      <c r="C2" s="1"/>
      <c r="D2" s="1" t="s">
        <v>2</v>
      </c>
      <c r="E2" s="1">
        <f>COUNTA(C5:G12)-COUNTIFS(C5:G12,"=N/A")</f>
        <v>33</v>
      </c>
      <c r="F2" s="1"/>
      <c r="G2" s="1"/>
      <c r="H2" s="10"/>
      <c r="I2" s="11"/>
      <c r="J2" s="11"/>
      <c r="K2" s="2"/>
      <c r="L2" s="11"/>
      <c r="M2" s="2"/>
    </row>
    <row r="3" spans="1:13" x14ac:dyDescent="0.2">
      <c r="A3" s="11"/>
      <c r="B3" s="11"/>
      <c r="C3" s="2"/>
      <c r="D3" s="2"/>
      <c r="E3" s="2"/>
      <c r="F3" s="2"/>
      <c r="G3" s="2"/>
      <c r="H3" s="11"/>
      <c r="I3" s="11"/>
      <c r="J3" s="11"/>
      <c r="K3" s="2"/>
      <c r="L3" s="11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5" t="s">
        <v>13</v>
      </c>
      <c r="L4" s="6" t="s">
        <v>14</v>
      </c>
      <c r="M4" s="5" t="s">
        <v>15</v>
      </c>
    </row>
    <row r="5" spans="1:13" x14ac:dyDescent="0.2">
      <c r="A5" s="21" t="s">
        <v>676</v>
      </c>
      <c r="B5" s="21">
        <v>4</v>
      </c>
      <c r="C5" s="17" t="s">
        <v>677</v>
      </c>
      <c r="D5" s="17" t="s">
        <v>678</v>
      </c>
      <c r="E5" s="17" t="s">
        <v>679</v>
      </c>
      <c r="F5" s="14" t="s">
        <v>29</v>
      </c>
      <c r="G5" s="17" t="s">
        <v>680</v>
      </c>
      <c r="H5" s="21">
        <v>6</v>
      </c>
      <c r="I5" s="21" t="s">
        <v>22</v>
      </c>
      <c r="J5" s="22" t="s">
        <v>681</v>
      </c>
      <c r="K5" s="14" t="s">
        <v>81</v>
      </c>
      <c r="L5" s="12"/>
      <c r="M5" s="14"/>
    </row>
    <row r="6" spans="1:13" x14ac:dyDescent="0.2">
      <c r="A6" s="23" t="s">
        <v>682</v>
      </c>
      <c r="B6" s="23" t="s">
        <v>683</v>
      </c>
      <c r="C6" s="17" t="s">
        <v>684</v>
      </c>
      <c r="D6" s="17" t="s">
        <v>685</v>
      </c>
      <c r="E6" s="14" t="s">
        <v>29</v>
      </c>
      <c r="F6" s="14" t="s">
        <v>29</v>
      </c>
      <c r="G6" s="14" t="s">
        <v>29</v>
      </c>
      <c r="H6" s="23">
        <v>27</v>
      </c>
      <c r="I6" s="23" t="s">
        <v>22</v>
      </c>
      <c r="J6" s="24" t="s">
        <v>681</v>
      </c>
      <c r="K6" s="16"/>
      <c r="L6" s="15"/>
      <c r="M6" s="16" t="s">
        <v>171</v>
      </c>
    </row>
    <row r="7" spans="1:13" x14ac:dyDescent="0.2">
      <c r="A7" s="21" t="s">
        <v>686</v>
      </c>
      <c r="B7" s="21">
        <v>5</v>
      </c>
      <c r="C7" s="17" t="s">
        <v>687</v>
      </c>
      <c r="D7" s="17" t="s">
        <v>688</v>
      </c>
      <c r="E7" s="17" t="s">
        <v>689</v>
      </c>
      <c r="F7" s="17" t="s">
        <v>690</v>
      </c>
      <c r="G7" s="17" t="s">
        <v>691</v>
      </c>
      <c r="H7" s="21">
        <v>23</v>
      </c>
      <c r="I7" s="21" t="s">
        <v>31</v>
      </c>
      <c r="J7" s="22" t="s">
        <v>681</v>
      </c>
      <c r="K7" s="14" t="s">
        <v>654</v>
      </c>
      <c r="L7" s="12"/>
      <c r="M7" s="14"/>
    </row>
    <row r="8" spans="1:13" x14ac:dyDescent="0.2">
      <c r="A8" s="21" t="s">
        <v>692</v>
      </c>
      <c r="B8" s="21">
        <v>5</v>
      </c>
      <c r="C8" s="17" t="s">
        <v>693</v>
      </c>
      <c r="D8" s="17" t="s">
        <v>694</v>
      </c>
      <c r="E8" s="17" t="s">
        <v>695</v>
      </c>
      <c r="F8" s="17" t="s">
        <v>696</v>
      </c>
      <c r="G8" s="17" t="s">
        <v>697</v>
      </c>
      <c r="H8" s="21">
        <v>79</v>
      </c>
      <c r="I8" s="21" t="s">
        <v>31</v>
      </c>
      <c r="J8" s="22" t="s">
        <v>698</v>
      </c>
      <c r="K8" s="14"/>
      <c r="L8" s="12"/>
      <c r="M8" s="14"/>
    </row>
    <row r="9" spans="1:13" x14ac:dyDescent="0.2">
      <c r="A9" s="21" t="s">
        <v>699</v>
      </c>
      <c r="B9" s="21">
        <v>3</v>
      </c>
      <c r="C9" s="17" t="s">
        <v>700</v>
      </c>
      <c r="D9" s="17" t="s">
        <v>701</v>
      </c>
      <c r="E9" s="17" t="s">
        <v>702</v>
      </c>
      <c r="F9" s="14" t="s">
        <v>29</v>
      </c>
      <c r="G9" s="14" t="s">
        <v>29</v>
      </c>
      <c r="H9" s="21">
        <v>17</v>
      </c>
      <c r="I9" s="21" t="s">
        <v>31</v>
      </c>
      <c r="J9" s="22" t="s">
        <v>681</v>
      </c>
      <c r="K9" s="14" t="s">
        <v>81</v>
      </c>
      <c r="L9" s="12"/>
      <c r="M9" s="14"/>
    </row>
    <row r="10" spans="1:13" x14ac:dyDescent="0.2">
      <c r="A10" s="21" t="s">
        <v>703</v>
      </c>
      <c r="B10" s="21">
        <v>5</v>
      </c>
      <c r="C10" s="17" t="s">
        <v>704</v>
      </c>
      <c r="D10" s="17" t="s">
        <v>705</v>
      </c>
      <c r="E10" s="17" t="s">
        <v>706</v>
      </c>
      <c r="F10" s="17" t="s">
        <v>707</v>
      </c>
      <c r="G10" s="17" t="s">
        <v>708</v>
      </c>
      <c r="H10" s="21">
        <v>14</v>
      </c>
      <c r="I10" s="21" t="s">
        <v>31</v>
      </c>
      <c r="J10" s="22" t="s">
        <v>709</v>
      </c>
      <c r="K10" s="14" t="s">
        <v>81</v>
      </c>
      <c r="L10" s="12"/>
      <c r="M10" s="14"/>
    </row>
    <row r="11" spans="1:13" x14ac:dyDescent="0.2">
      <c r="A11" s="21" t="s">
        <v>710</v>
      </c>
      <c r="B11" s="21">
        <v>4</v>
      </c>
      <c r="C11" s="17" t="s">
        <v>711</v>
      </c>
      <c r="D11" s="17" t="s">
        <v>712</v>
      </c>
      <c r="E11" s="17" t="s">
        <v>713</v>
      </c>
      <c r="F11" s="17" t="s">
        <v>714</v>
      </c>
      <c r="G11" s="14" t="s">
        <v>29</v>
      </c>
      <c r="H11" s="21">
        <v>13</v>
      </c>
      <c r="I11" s="21" t="s">
        <v>22</v>
      </c>
      <c r="J11" s="22" t="s">
        <v>698</v>
      </c>
      <c r="K11" s="14" t="s">
        <v>81</v>
      </c>
      <c r="L11" s="12"/>
      <c r="M11" s="14"/>
    </row>
    <row r="12" spans="1:13" x14ac:dyDescent="0.2">
      <c r="A12" s="21" t="s">
        <v>715</v>
      </c>
      <c r="B12" s="21">
        <v>5</v>
      </c>
      <c r="C12" s="17" t="s">
        <v>716</v>
      </c>
      <c r="D12" s="17" t="s">
        <v>717</v>
      </c>
      <c r="E12" s="17" t="s">
        <v>718</v>
      </c>
      <c r="F12" s="17" t="s">
        <v>719</v>
      </c>
      <c r="G12" s="17" t="s">
        <v>720</v>
      </c>
      <c r="H12" s="21">
        <v>26</v>
      </c>
      <c r="I12" s="21" t="s">
        <v>22</v>
      </c>
      <c r="J12" s="22" t="s">
        <v>681</v>
      </c>
      <c r="K12" s="14" t="s">
        <v>81</v>
      </c>
      <c r="L12" s="12"/>
      <c r="M12" s="14"/>
    </row>
  </sheetData>
  <conditionalFormatting sqref="K5:M12">
    <cfRule type="expression" dxfId="39" priority="5">
      <formula>#REF!=5</formula>
    </cfRule>
  </conditionalFormatting>
  <conditionalFormatting sqref="A5:A12">
    <cfRule type="expression" dxfId="38" priority="4">
      <formula>$Q5=5</formula>
    </cfRule>
  </conditionalFormatting>
  <conditionalFormatting sqref="H5:I12">
    <cfRule type="expression" dxfId="37" priority="3">
      <formula>$Q5=5</formula>
    </cfRule>
  </conditionalFormatting>
  <conditionalFormatting sqref="J5:J12">
    <cfRule type="expression" dxfId="36" priority="2">
      <formula>$Q5=5</formula>
    </cfRule>
  </conditionalFormatting>
  <conditionalFormatting sqref="B5:B12">
    <cfRule type="expression" dxfId="35" priority="1">
      <formula>$Q5=5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49B2-DD46-A547-889C-DBD5A2DEE7C7}">
  <dimension ref="A1:M11"/>
  <sheetViews>
    <sheetView workbookViewId="0">
      <selection sqref="A1:M11"/>
    </sheetView>
  </sheetViews>
  <sheetFormatPr baseColWidth="10" defaultRowHeight="16" x14ac:dyDescent="0.2"/>
  <cols>
    <col min="10" max="10" width="34" customWidth="1"/>
    <col min="11" max="11" width="14" customWidth="1"/>
    <col min="12" max="12" width="15.83203125" customWidth="1"/>
  </cols>
  <sheetData>
    <row r="1" spans="1:13" x14ac:dyDescent="0.2">
      <c r="A1" s="25" t="s">
        <v>721</v>
      </c>
      <c r="B1" s="26"/>
      <c r="C1" s="1"/>
      <c r="D1" s="1"/>
      <c r="E1" s="1"/>
      <c r="F1" s="1"/>
      <c r="G1" s="1"/>
      <c r="H1" s="25"/>
      <c r="I1" s="26"/>
      <c r="J1" s="26"/>
      <c r="K1" s="2"/>
      <c r="L1" s="26"/>
      <c r="M1" s="2"/>
    </row>
    <row r="2" spans="1:13" x14ac:dyDescent="0.2">
      <c r="A2" s="25" t="s">
        <v>1</v>
      </c>
      <c r="B2" s="25">
        <f>COUNTA(A5:A11)</f>
        <v>7</v>
      </c>
      <c r="C2" s="1"/>
      <c r="D2" s="1" t="s">
        <v>2</v>
      </c>
      <c r="E2" s="1">
        <f>COUNTA(C5:G11)-COUNTIFS(C5:G11,"=N/A")</f>
        <v>27</v>
      </c>
      <c r="F2" s="1"/>
      <c r="G2" s="1"/>
      <c r="H2" s="25"/>
      <c r="I2" s="26"/>
      <c r="J2" s="26"/>
      <c r="K2" s="2"/>
      <c r="L2" s="26"/>
      <c r="M2" s="2"/>
    </row>
    <row r="3" spans="1:13" x14ac:dyDescent="0.2">
      <c r="A3" s="26"/>
      <c r="B3" s="26"/>
      <c r="C3" s="2"/>
      <c r="D3" s="2"/>
      <c r="E3" s="2"/>
      <c r="F3" s="2"/>
      <c r="G3" s="2"/>
      <c r="H3" s="26"/>
      <c r="I3" s="26"/>
      <c r="J3" s="26"/>
      <c r="K3" s="2"/>
      <c r="L3" s="26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5" t="s">
        <v>14</v>
      </c>
      <c r="M4" s="5" t="s">
        <v>15</v>
      </c>
    </row>
    <row r="5" spans="1:13" x14ac:dyDescent="0.2">
      <c r="A5" s="14" t="s">
        <v>722</v>
      </c>
      <c r="B5" s="14">
        <v>5</v>
      </c>
      <c r="C5" s="27" t="s">
        <v>723</v>
      </c>
      <c r="D5" s="27" t="s">
        <v>724</v>
      </c>
      <c r="E5" s="27" t="s">
        <v>725</v>
      </c>
      <c r="F5" s="27" t="s">
        <v>726</v>
      </c>
      <c r="G5" s="27" t="s">
        <v>727</v>
      </c>
      <c r="H5" s="14">
        <v>10</v>
      </c>
      <c r="I5" s="14" t="s">
        <v>31</v>
      </c>
      <c r="J5" s="18" t="s">
        <v>728</v>
      </c>
      <c r="K5" s="9" t="s">
        <v>40</v>
      </c>
      <c r="L5" s="7"/>
      <c r="M5" s="9"/>
    </row>
    <row r="6" spans="1:13" x14ac:dyDescent="0.2">
      <c r="A6" s="14" t="s">
        <v>729</v>
      </c>
      <c r="B6" s="14">
        <v>3</v>
      </c>
      <c r="C6" s="27" t="s">
        <v>730</v>
      </c>
      <c r="D6" s="27" t="s">
        <v>731</v>
      </c>
      <c r="E6" s="27" t="s">
        <v>732</v>
      </c>
      <c r="F6" s="9" t="s">
        <v>29</v>
      </c>
      <c r="G6" s="9" t="s">
        <v>29</v>
      </c>
      <c r="H6" s="14">
        <v>21</v>
      </c>
      <c r="I6" s="14" t="s">
        <v>22</v>
      </c>
      <c r="J6" s="18" t="s">
        <v>728</v>
      </c>
      <c r="K6" s="9" t="s">
        <v>40</v>
      </c>
      <c r="L6" s="7"/>
      <c r="M6" s="9"/>
    </row>
    <row r="7" spans="1:13" x14ac:dyDescent="0.2">
      <c r="A7" s="14" t="s">
        <v>733</v>
      </c>
      <c r="B7" s="14">
        <v>3</v>
      </c>
      <c r="C7" s="27" t="s">
        <v>734</v>
      </c>
      <c r="D7" s="27" t="s">
        <v>735</v>
      </c>
      <c r="E7" s="27" t="s">
        <v>736</v>
      </c>
      <c r="F7" s="9" t="s">
        <v>29</v>
      </c>
      <c r="G7" s="9" t="s">
        <v>29</v>
      </c>
      <c r="H7" s="14">
        <v>54</v>
      </c>
      <c r="I7" s="14" t="s">
        <v>31</v>
      </c>
      <c r="J7" s="18" t="s">
        <v>737</v>
      </c>
      <c r="K7" s="9"/>
      <c r="L7" s="7"/>
      <c r="M7" s="9"/>
    </row>
    <row r="8" spans="1:13" x14ac:dyDescent="0.2">
      <c r="A8" s="14" t="s">
        <v>738</v>
      </c>
      <c r="B8" s="14">
        <v>4</v>
      </c>
      <c r="C8" s="27" t="s">
        <v>739</v>
      </c>
      <c r="D8" s="9" t="s">
        <v>29</v>
      </c>
      <c r="E8" s="27" t="s">
        <v>740</v>
      </c>
      <c r="F8" s="27" t="s">
        <v>741</v>
      </c>
      <c r="G8" s="27" t="s">
        <v>742</v>
      </c>
      <c r="H8" s="14">
        <v>71</v>
      </c>
      <c r="I8" s="14" t="s">
        <v>31</v>
      </c>
      <c r="J8" s="18" t="s">
        <v>737</v>
      </c>
      <c r="K8" s="9"/>
      <c r="L8" s="7"/>
      <c r="M8" s="9"/>
    </row>
    <row r="9" spans="1:13" x14ac:dyDescent="0.2">
      <c r="A9" s="14" t="s">
        <v>743</v>
      </c>
      <c r="B9" s="14">
        <v>5</v>
      </c>
      <c r="C9" s="27" t="s">
        <v>744</v>
      </c>
      <c r="D9" s="27" t="s">
        <v>745</v>
      </c>
      <c r="E9" s="27" t="s">
        <v>746</v>
      </c>
      <c r="F9" s="27" t="s">
        <v>747</v>
      </c>
      <c r="G9" s="27" t="s">
        <v>748</v>
      </c>
      <c r="H9" s="14">
        <v>35</v>
      </c>
      <c r="I9" s="14" t="s">
        <v>22</v>
      </c>
      <c r="J9" s="18" t="s">
        <v>749</v>
      </c>
      <c r="K9" s="9"/>
      <c r="L9" s="7"/>
      <c r="M9" s="9"/>
    </row>
    <row r="10" spans="1:13" x14ac:dyDescent="0.2">
      <c r="A10" s="14" t="s">
        <v>750</v>
      </c>
      <c r="B10" s="14">
        <v>3</v>
      </c>
      <c r="C10" s="27" t="s">
        <v>751</v>
      </c>
      <c r="D10" s="9" t="s">
        <v>29</v>
      </c>
      <c r="E10" s="27" t="s">
        <v>752</v>
      </c>
      <c r="F10" s="9" t="s">
        <v>29</v>
      </c>
      <c r="G10" s="27" t="s">
        <v>753</v>
      </c>
      <c r="H10" s="14">
        <v>16</v>
      </c>
      <c r="I10" s="14" t="s">
        <v>31</v>
      </c>
      <c r="J10" s="18" t="s">
        <v>754</v>
      </c>
      <c r="K10" s="9" t="s">
        <v>40</v>
      </c>
      <c r="L10" s="7"/>
      <c r="M10" s="9"/>
    </row>
    <row r="11" spans="1:13" x14ac:dyDescent="0.2">
      <c r="A11" s="14" t="s">
        <v>755</v>
      </c>
      <c r="B11" s="14">
        <v>4</v>
      </c>
      <c r="C11" s="27" t="s">
        <v>756</v>
      </c>
      <c r="D11" s="9" t="s">
        <v>29</v>
      </c>
      <c r="E11" s="27" t="s">
        <v>757</v>
      </c>
      <c r="F11" s="27" t="s">
        <v>758</v>
      </c>
      <c r="G11" s="27" t="s">
        <v>759</v>
      </c>
      <c r="H11" s="14">
        <v>16</v>
      </c>
      <c r="I11" s="14" t="s">
        <v>31</v>
      </c>
      <c r="J11" s="18" t="s">
        <v>754</v>
      </c>
      <c r="K11" s="9"/>
      <c r="L11" s="7"/>
      <c r="M11" s="9"/>
    </row>
  </sheetData>
  <conditionalFormatting sqref="K5:M11">
    <cfRule type="expression" dxfId="34" priority="5">
      <formula>#REF!=5</formula>
    </cfRule>
  </conditionalFormatting>
  <conditionalFormatting sqref="A5:A11">
    <cfRule type="expression" dxfId="33" priority="4">
      <formula>$P5=5</formula>
    </cfRule>
  </conditionalFormatting>
  <conditionalFormatting sqref="H5:I11">
    <cfRule type="expression" dxfId="32" priority="3">
      <formula>$P5=5</formula>
    </cfRule>
  </conditionalFormatting>
  <conditionalFormatting sqref="J5:J11">
    <cfRule type="expression" dxfId="31" priority="2">
      <formula>$P5=5</formula>
    </cfRule>
  </conditionalFormatting>
  <conditionalFormatting sqref="B5:B11">
    <cfRule type="expression" dxfId="30" priority="1">
      <formula>$P5=5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1CDD-8930-3242-A58D-5E20CA59FABF}">
  <dimension ref="A1:M11"/>
  <sheetViews>
    <sheetView workbookViewId="0">
      <selection activeCell="O68" sqref="O68"/>
    </sheetView>
  </sheetViews>
  <sheetFormatPr baseColWidth="10" defaultRowHeight="16" x14ac:dyDescent="0.2"/>
  <cols>
    <col min="10" max="10" width="19.33203125" customWidth="1"/>
    <col min="11" max="11" width="16.83203125" customWidth="1"/>
    <col min="12" max="12" width="18.1640625" customWidth="1"/>
  </cols>
  <sheetData>
    <row r="1" spans="1:13" x14ac:dyDescent="0.2">
      <c r="A1" s="25" t="s">
        <v>760</v>
      </c>
      <c r="B1" s="26"/>
      <c r="C1" s="1"/>
      <c r="D1" s="1"/>
      <c r="E1" s="1"/>
      <c r="F1" s="1"/>
      <c r="G1" s="1"/>
      <c r="H1" s="25"/>
      <c r="I1" s="26"/>
      <c r="J1" s="26"/>
      <c r="K1" s="2"/>
      <c r="L1" s="26"/>
      <c r="M1" s="2"/>
    </row>
    <row r="2" spans="1:13" x14ac:dyDescent="0.2">
      <c r="A2" s="25" t="s">
        <v>1</v>
      </c>
      <c r="B2" s="25">
        <f>COUNTA(A5:A11)</f>
        <v>7</v>
      </c>
      <c r="C2" s="1"/>
      <c r="D2" s="1" t="s">
        <v>2</v>
      </c>
      <c r="E2" s="1">
        <f>COUNTA(C5:G11)-COUNTIFS(C5:G11,"=N/A")</f>
        <v>32</v>
      </c>
      <c r="F2" s="1"/>
      <c r="G2" s="1"/>
      <c r="H2" s="25"/>
      <c r="I2" s="26"/>
      <c r="J2" s="26"/>
      <c r="K2" s="2"/>
      <c r="L2" s="26"/>
      <c r="M2" s="2"/>
    </row>
    <row r="3" spans="1:13" x14ac:dyDescent="0.2">
      <c r="A3" s="26"/>
      <c r="B3" s="26"/>
      <c r="C3" s="2"/>
      <c r="D3" s="2"/>
      <c r="E3" s="2"/>
      <c r="F3" s="2"/>
      <c r="G3" s="2"/>
      <c r="H3" s="26"/>
      <c r="I3" s="26"/>
      <c r="J3" s="26"/>
      <c r="K3" s="2"/>
      <c r="L3" s="26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5" t="s">
        <v>14</v>
      </c>
      <c r="M4" s="5" t="s">
        <v>15</v>
      </c>
    </row>
    <row r="5" spans="1:13" x14ac:dyDescent="0.2">
      <c r="A5" s="9" t="s">
        <v>761</v>
      </c>
      <c r="B5" s="9">
        <v>3</v>
      </c>
      <c r="C5" s="27" t="s">
        <v>762</v>
      </c>
      <c r="D5" s="27" t="s">
        <v>204</v>
      </c>
      <c r="E5" s="27" t="s">
        <v>763</v>
      </c>
      <c r="F5" s="9" t="s">
        <v>29</v>
      </c>
      <c r="G5" s="9" t="s">
        <v>29</v>
      </c>
      <c r="H5" s="9">
        <v>4</v>
      </c>
      <c r="I5" s="9" t="s">
        <v>31</v>
      </c>
      <c r="J5" s="28" t="s">
        <v>764</v>
      </c>
      <c r="K5" s="7" t="s">
        <v>40</v>
      </c>
      <c r="L5" s="7"/>
      <c r="M5" s="9"/>
    </row>
    <row r="6" spans="1:13" x14ac:dyDescent="0.2">
      <c r="A6" s="9" t="s">
        <v>765</v>
      </c>
      <c r="B6" s="9">
        <v>5</v>
      </c>
      <c r="C6" s="27" t="s">
        <v>766</v>
      </c>
      <c r="D6" s="27" t="s">
        <v>767</v>
      </c>
      <c r="E6" s="27" t="s">
        <v>768</v>
      </c>
      <c r="F6" s="27" t="s">
        <v>769</v>
      </c>
      <c r="G6" s="27" t="s">
        <v>770</v>
      </c>
      <c r="H6" s="9">
        <v>30</v>
      </c>
      <c r="I6" s="9" t="s">
        <v>22</v>
      </c>
      <c r="J6" s="28" t="s">
        <v>764</v>
      </c>
      <c r="K6" s="7"/>
      <c r="L6" s="7"/>
      <c r="M6" s="9"/>
    </row>
    <row r="7" spans="1:13" x14ac:dyDescent="0.2">
      <c r="A7" s="9" t="s">
        <v>771</v>
      </c>
      <c r="B7" s="9">
        <v>5</v>
      </c>
      <c r="C7" s="27" t="s">
        <v>772</v>
      </c>
      <c r="D7" s="27" t="s">
        <v>773</v>
      </c>
      <c r="E7" s="27" t="s">
        <v>774</v>
      </c>
      <c r="F7" s="27" t="s">
        <v>775</v>
      </c>
      <c r="G7" s="27" t="s">
        <v>776</v>
      </c>
      <c r="H7" s="9">
        <v>2</v>
      </c>
      <c r="I7" s="9" t="s">
        <v>22</v>
      </c>
      <c r="J7" s="28" t="s">
        <v>764</v>
      </c>
      <c r="K7" s="7"/>
      <c r="L7" s="7"/>
      <c r="M7" s="9"/>
    </row>
    <row r="8" spans="1:13" x14ac:dyDescent="0.2">
      <c r="A8" s="9" t="s">
        <v>777</v>
      </c>
      <c r="B8" s="9">
        <v>4</v>
      </c>
      <c r="C8" s="27" t="s">
        <v>778</v>
      </c>
      <c r="D8" s="27" t="s">
        <v>779</v>
      </c>
      <c r="E8" s="27" t="s">
        <v>780</v>
      </c>
      <c r="F8" s="9" t="s">
        <v>29</v>
      </c>
      <c r="G8" s="27" t="s">
        <v>781</v>
      </c>
      <c r="H8" s="9">
        <v>2</v>
      </c>
      <c r="I8" s="9" t="s">
        <v>31</v>
      </c>
      <c r="J8" s="28" t="s">
        <v>764</v>
      </c>
      <c r="K8" s="7" t="s">
        <v>40</v>
      </c>
      <c r="L8" s="7"/>
      <c r="M8" s="9"/>
    </row>
    <row r="9" spans="1:13" x14ac:dyDescent="0.2">
      <c r="A9" s="9" t="s">
        <v>782</v>
      </c>
      <c r="B9" s="9">
        <v>5</v>
      </c>
      <c r="C9" s="27" t="s">
        <v>783</v>
      </c>
      <c r="D9" s="27" t="s">
        <v>784</v>
      </c>
      <c r="E9" s="27" t="s">
        <v>785</v>
      </c>
      <c r="F9" s="27" t="s">
        <v>786</v>
      </c>
      <c r="G9" s="27" t="s">
        <v>787</v>
      </c>
      <c r="H9" s="9">
        <v>2</v>
      </c>
      <c r="I9" s="9" t="s">
        <v>22</v>
      </c>
      <c r="J9" s="28" t="s">
        <v>764</v>
      </c>
      <c r="K9" s="7"/>
      <c r="L9" s="7"/>
      <c r="M9" s="9"/>
    </row>
    <row r="10" spans="1:13" x14ac:dyDescent="0.2">
      <c r="A10" s="9" t="s">
        <v>788</v>
      </c>
      <c r="B10" s="9">
        <v>5</v>
      </c>
      <c r="C10" s="27" t="s">
        <v>789</v>
      </c>
      <c r="D10" s="27" t="s">
        <v>790</v>
      </c>
      <c r="E10" s="27" t="s">
        <v>791</v>
      </c>
      <c r="F10" s="27" t="s">
        <v>792</v>
      </c>
      <c r="G10" s="27" t="s">
        <v>793</v>
      </c>
      <c r="H10" s="9">
        <v>17</v>
      </c>
      <c r="I10" s="9" t="s">
        <v>22</v>
      </c>
      <c r="J10" s="28" t="s">
        <v>764</v>
      </c>
      <c r="K10" s="7"/>
      <c r="L10" s="7"/>
      <c r="M10" s="9"/>
    </row>
    <row r="11" spans="1:13" x14ac:dyDescent="0.2">
      <c r="A11" s="9" t="s">
        <v>794</v>
      </c>
      <c r="B11" s="9">
        <v>5</v>
      </c>
      <c r="C11" s="27" t="s">
        <v>795</v>
      </c>
      <c r="D11" s="27" t="s">
        <v>796</v>
      </c>
      <c r="E11" s="27" t="s">
        <v>797</v>
      </c>
      <c r="F11" s="27" t="s">
        <v>798</v>
      </c>
      <c r="G11" s="27" t="s">
        <v>799</v>
      </c>
      <c r="H11" s="9">
        <v>33</v>
      </c>
      <c r="I11" s="9" t="s">
        <v>22</v>
      </c>
      <c r="J11" s="28" t="s">
        <v>764</v>
      </c>
      <c r="K11" s="7"/>
      <c r="L11" s="7"/>
      <c r="M11" s="9"/>
    </row>
  </sheetData>
  <conditionalFormatting sqref="K5:M11">
    <cfRule type="expression" dxfId="29" priority="6">
      <formula>#REF!=5</formula>
    </cfRule>
  </conditionalFormatting>
  <conditionalFormatting sqref="B11">
    <cfRule type="expression" dxfId="28" priority="5">
      <formula>$P11=5</formula>
    </cfRule>
  </conditionalFormatting>
  <conditionalFormatting sqref="A5:A11">
    <cfRule type="expression" dxfId="27" priority="4">
      <formula>$P5=5</formula>
    </cfRule>
  </conditionalFormatting>
  <conditionalFormatting sqref="H5:I11">
    <cfRule type="expression" dxfId="26" priority="3">
      <formula>$P5=5</formula>
    </cfRule>
  </conditionalFormatting>
  <conditionalFormatting sqref="J5:J11">
    <cfRule type="expression" dxfId="25" priority="2">
      <formula>$P5=5</formula>
    </cfRule>
  </conditionalFormatting>
  <conditionalFormatting sqref="B5:B10">
    <cfRule type="expression" dxfId="24" priority="1">
      <formula>$P5=5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5A6A-5F13-424A-BE52-9D17FF35107E}">
  <dimension ref="A1:M11"/>
  <sheetViews>
    <sheetView workbookViewId="0">
      <selection activeCell="P67" sqref="P67"/>
    </sheetView>
  </sheetViews>
  <sheetFormatPr baseColWidth="10" defaultRowHeight="16" x14ac:dyDescent="0.2"/>
  <cols>
    <col min="10" max="10" width="19.1640625" customWidth="1"/>
    <col min="11" max="11" width="18.1640625" customWidth="1"/>
  </cols>
  <sheetData>
    <row r="1" spans="1:13" x14ac:dyDescent="0.2">
      <c r="A1" s="25" t="s">
        <v>800</v>
      </c>
      <c r="B1" s="26"/>
      <c r="C1" s="1"/>
      <c r="D1" s="1"/>
      <c r="E1" s="1"/>
      <c r="F1" s="1"/>
      <c r="G1" s="1"/>
      <c r="H1" s="25"/>
      <c r="I1" s="26"/>
      <c r="J1" s="26"/>
      <c r="K1" s="2"/>
      <c r="L1" s="26"/>
      <c r="M1" s="2"/>
    </row>
    <row r="2" spans="1:13" x14ac:dyDescent="0.2">
      <c r="A2" s="25" t="s">
        <v>1</v>
      </c>
      <c r="B2" s="25">
        <f>COUNTA(A5:A11)</f>
        <v>7</v>
      </c>
      <c r="C2" s="1"/>
      <c r="D2" s="1" t="s">
        <v>2</v>
      </c>
      <c r="E2" s="1">
        <f>COUNTA(C5:G11)-COUNTIFS(C5:G11,"=N/A")</f>
        <v>31</v>
      </c>
      <c r="F2" s="1"/>
      <c r="G2" s="1"/>
      <c r="H2" s="25"/>
      <c r="I2" s="26"/>
      <c r="J2" s="26"/>
      <c r="K2" s="2"/>
      <c r="L2" s="26"/>
      <c r="M2" s="2"/>
    </row>
    <row r="3" spans="1:13" x14ac:dyDescent="0.2">
      <c r="A3" s="26"/>
      <c r="B3" s="26"/>
      <c r="C3" s="2"/>
      <c r="D3" s="2"/>
      <c r="E3" s="2"/>
      <c r="F3" s="2"/>
      <c r="G3" s="2"/>
      <c r="H3" s="26"/>
      <c r="I3" s="26"/>
      <c r="J3" s="26"/>
      <c r="K3" s="2"/>
      <c r="L3" s="26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5" t="s">
        <v>14</v>
      </c>
      <c r="M4" s="5" t="s">
        <v>15</v>
      </c>
    </row>
    <row r="5" spans="1:13" x14ac:dyDescent="0.2">
      <c r="A5" s="14" t="s">
        <v>801</v>
      </c>
      <c r="B5" s="14">
        <v>5</v>
      </c>
      <c r="C5" s="27" t="s">
        <v>802</v>
      </c>
      <c r="D5" s="27" t="s">
        <v>803</v>
      </c>
      <c r="E5" s="27" t="s">
        <v>804</v>
      </c>
      <c r="F5" s="27" t="s">
        <v>805</v>
      </c>
      <c r="G5" s="27" t="s">
        <v>806</v>
      </c>
      <c r="H5" s="14">
        <v>7</v>
      </c>
      <c r="I5" s="14" t="s">
        <v>22</v>
      </c>
      <c r="J5" s="18" t="s">
        <v>800</v>
      </c>
      <c r="K5" s="9"/>
      <c r="L5" s="7"/>
      <c r="M5" s="9"/>
    </row>
    <row r="6" spans="1:13" x14ac:dyDescent="0.2">
      <c r="A6" s="14" t="s">
        <v>807</v>
      </c>
      <c r="B6" s="14">
        <v>5</v>
      </c>
      <c r="C6" s="27" t="s">
        <v>808</v>
      </c>
      <c r="D6" s="27" t="s">
        <v>809</v>
      </c>
      <c r="E6" s="27" t="s">
        <v>810</v>
      </c>
      <c r="F6" s="27" t="s">
        <v>811</v>
      </c>
      <c r="G6" s="27" t="s">
        <v>812</v>
      </c>
      <c r="H6" s="14">
        <v>3</v>
      </c>
      <c r="I6" s="14" t="s">
        <v>22</v>
      </c>
      <c r="J6" s="18" t="s">
        <v>800</v>
      </c>
      <c r="K6" s="9" t="s">
        <v>24</v>
      </c>
      <c r="L6" s="7"/>
      <c r="M6" s="9"/>
    </row>
    <row r="7" spans="1:13" x14ac:dyDescent="0.2">
      <c r="A7" s="14" t="s">
        <v>813</v>
      </c>
      <c r="B7" s="14">
        <v>4</v>
      </c>
      <c r="C7" s="27" t="s">
        <v>814</v>
      </c>
      <c r="D7" s="27" t="s">
        <v>815</v>
      </c>
      <c r="E7" s="27" t="s">
        <v>816</v>
      </c>
      <c r="F7" s="27" t="s">
        <v>817</v>
      </c>
      <c r="G7" s="9" t="s">
        <v>29</v>
      </c>
      <c r="H7" s="14">
        <v>2</v>
      </c>
      <c r="I7" s="14" t="s">
        <v>22</v>
      </c>
      <c r="J7" s="18" t="s">
        <v>800</v>
      </c>
      <c r="K7" s="9" t="s">
        <v>654</v>
      </c>
      <c r="L7" s="7"/>
      <c r="M7" s="9"/>
    </row>
    <row r="8" spans="1:13" x14ac:dyDescent="0.2">
      <c r="A8" s="14" t="s">
        <v>818</v>
      </c>
      <c r="B8" s="14">
        <v>5</v>
      </c>
      <c r="C8" s="27" t="s">
        <v>819</v>
      </c>
      <c r="D8" s="27" t="s">
        <v>820</v>
      </c>
      <c r="E8" s="27" t="s">
        <v>821</v>
      </c>
      <c r="F8" s="27" t="s">
        <v>822</v>
      </c>
      <c r="G8" s="27" t="s">
        <v>823</v>
      </c>
      <c r="H8" s="14">
        <v>31</v>
      </c>
      <c r="I8" s="14" t="s">
        <v>22</v>
      </c>
      <c r="J8" s="18" t="s">
        <v>800</v>
      </c>
      <c r="K8" s="9" t="s">
        <v>654</v>
      </c>
      <c r="L8" s="7"/>
      <c r="M8" s="9"/>
    </row>
    <row r="9" spans="1:13" x14ac:dyDescent="0.2">
      <c r="A9" s="14" t="s">
        <v>824</v>
      </c>
      <c r="B9" s="14">
        <v>4</v>
      </c>
      <c r="C9" s="27" t="s">
        <v>825</v>
      </c>
      <c r="D9" s="27" t="s">
        <v>826</v>
      </c>
      <c r="E9" s="27" t="s">
        <v>827</v>
      </c>
      <c r="F9" s="27" t="s">
        <v>828</v>
      </c>
      <c r="G9" s="9" t="s">
        <v>29</v>
      </c>
      <c r="H9" s="14">
        <v>5</v>
      </c>
      <c r="I9" s="14" t="s">
        <v>22</v>
      </c>
      <c r="J9" s="18" t="s">
        <v>800</v>
      </c>
      <c r="K9" s="9" t="s">
        <v>633</v>
      </c>
      <c r="L9" s="7"/>
      <c r="M9" s="9"/>
    </row>
    <row r="10" spans="1:13" x14ac:dyDescent="0.2">
      <c r="A10" s="14" t="s">
        <v>829</v>
      </c>
      <c r="B10" s="14">
        <v>5</v>
      </c>
      <c r="C10" s="27" t="s">
        <v>830</v>
      </c>
      <c r="D10" s="27" t="s">
        <v>831</v>
      </c>
      <c r="E10" s="27" t="s">
        <v>832</v>
      </c>
      <c r="F10" s="27" t="s">
        <v>833</v>
      </c>
      <c r="G10" s="27" t="s">
        <v>834</v>
      </c>
      <c r="H10" s="14">
        <v>42</v>
      </c>
      <c r="I10" s="14" t="s">
        <v>22</v>
      </c>
      <c r="J10" s="18" t="s">
        <v>800</v>
      </c>
      <c r="K10" s="9" t="s">
        <v>835</v>
      </c>
      <c r="L10" s="7"/>
      <c r="M10" s="9"/>
    </row>
    <row r="11" spans="1:13" x14ac:dyDescent="0.2">
      <c r="A11" s="14" t="s">
        <v>836</v>
      </c>
      <c r="B11" s="14">
        <v>3</v>
      </c>
      <c r="C11" s="27" t="s">
        <v>837</v>
      </c>
      <c r="D11" s="27" t="s">
        <v>838</v>
      </c>
      <c r="E11" s="27" t="s">
        <v>839</v>
      </c>
      <c r="F11" s="9" t="s">
        <v>29</v>
      </c>
      <c r="G11" s="9" t="s">
        <v>29</v>
      </c>
      <c r="H11" s="14">
        <v>33</v>
      </c>
      <c r="I11" s="14" t="s">
        <v>31</v>
      </c>
      <c r="J11" s="18" t="s">
        <v>800</v>
      </c>
      <c r="K11" s="9" t="s">
        <v>24</v>
      </c>
      <c r="L11" s="7"/>
      <c r="M11" s="9"/>
    </row>
  </sheetData>
  <conditionalFormatting sqref="K5:M11">
    <cfRule type="expression" dxfId="23" priority="5">
      <formula>#REF!=5</formula>
    </cfRule>
  </conditionalFormatting>
  <conditionalFormatting sqref="A5:A11">
    <cfRule type="expression" dxfId="22" priority="4">
      <formula>$P5=5</formula>
    </cfRule>
  </conditionalFormatting>
  <conditionalFormatting sqref="H5:I11">
    <cfRule type="expression" dxfId="21" priority="3">
      <formula>$P5=5</formula>
    </cfRule>
  </conditionalFormatting>
  <conditionalFormatting sqref="J5:J11">
    <cfRule type="expression" dxfId="20" priority="2">
      <formula>$P5=5</formula>
    </cfRule>
  </conditionalFormatting>
  <conditionalFormatting sqref="B5:B11">
    <cfRule type="expression" dxfId="19" priority="1">
      <formula>$P5=5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A2DA-3F80-5542-A05E-11205BD2798B}">
  <dimension ref="A1:M8"/>
  <sheetViews>
    <sheetView workbookViewId="0">
      <selection activeCell="M70" sqref="M70"/>
    </sheetView>
  </sheetViews>
  <sheetFormatPr baseColWidth="10" defaultRowHeight="16" x14ac:dyDescent="0.2"/>
  <cols>
    <col min="10" max="10" width="28.5" customWidth="1"/>
    <col min="11" max="11" width="23.83203125" customWidth="1"/>
    <col min="12" max="12" width="18" customWidth="1"/>
  </cols>
  <sheetData>
    <row r="1" spans="1:13" x14ac:dyDescent="0.2">
      <c r="A1" s="10" t="s">
        <v>840</v>
      </c>
      <c r="B1" s="11"/>
      <c r="C1" s="1"/>
      <c r="D1" s="1"/>
      <c r="E1" s="1"/>
      <c r="F1" s="1"/>
      <c r="G1" s="1"/>
      <c r="H1" s="10"/>
      <c r="I1" s="11"/>
      <c r="J1" s="11"/>
      <c r="K1" s="2"/>
      <c r="L1" s="11"/>
      <c r="M1" s="2"/>
    </row>
    <row r="2" spans="1:13" x14ac:dyDescent="0.2">
      <c r="A2" s="10" t="s">
        <v>1</v>
      </c>
      <c r="B2" s="10">
        <f>COUNTA(A5:A8)</f>
        <v>4</v>
      </c>
      <c r="C2" s="1"/>
      <c r="D2" s="1" t="s">
        <v>2</v>
      </c>
      <c r="E2" s="1">
        <f>COUNTA(C5:G8)-COUNTIFS(C5:G8,"=N/A")</f>
        <v>20</v>
      </c>
      <c r="F2" s="1"/>
      <c r="G2" s="1"/>
      <c r="H2" s="10"/>
      <c r="I2" s="11"/>
      <c r="J2" s="11"/>
      <c r="K2" s="2"/>
      <c r="L2" s="11"/>
      <c r="M2" s="2"/>
    </row>
    <row r="3" spans="1:13" x14ac:dyDescent="0.2">
      <c r="A3" s="11"/>
      <c r="B3" s="11"/>
      <c r="C3" s="2"/>
      <c r="D3" s="2"/>
      <c r="E3" s="2"/>
      <c r="F3" s="2"/>
      <c r="G3" s="2"/>
      <c r="H3" s="11"/>
      <c r="I3" s="11"/>
      <c r="J3" s="11"/>
      <c r="K3" s="2"/>
      <c r="L3" s="11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5" t="s">
        <v>13</v>
      </c>
      <c r="L4" s="6" t="s">
        <v>14</v>
      </c>
      <c r="M4" s="5" t="s">
        <v>15</v>
      </c>
    </row>
    <row r="5" spans="1:13" x14ac:dyDescent="0.2">
      <c r="A5" s="14" t="s">
        <v>841</v>
      </c>
      <c r="B5" s="14">
        <v>5</v>
      </c>
      <c r="C5" s="17" t="s">
        <v>842</v>
      </c>
      <c r="D5" s="17" t="s">
        <v>843</v>
      </c>
      <c r="E5" s="17" t="s">
        <v>844</v>
      </c>
      <c r="F5" s="17" t="s">
        <v>845</v>
      </c>
      <c r="G5" s="17" t="s">
        <v>846</v>
      </c>
      <c r="H5" s="14">
        <v>5</v>
      </c>
      <c r="I5" s="14" t="s">
        <v>847</v>
      </c>
      <c r="J5" s="18" t="s">
        <v>848</v>
      </c>
      <c r="K5" s="14" t="s">
        <v>158</v>
      </c>
      <c r="L5" s="12"/>
      <c r="M5" s="14"/>
    </row>
    <row r="6" spans="1:13" x14ac:dyDescent="0.2">
      <c r="A6" s="14" t="s">
        <v>849</v>
      </c>
      <c r="B6" s="14">
        <v>5</v>
      </c>
      <c r="C6" s="17" t="s">
        <v>850</v>
      </c>
      <c r="D6" s="17" t="s">
        <v>851</v>
      </c>
      <c r="E6" s="17" t="s">
        <v>852</v>
      </c>
      <c r="F6" s="17" t="s">
        <v>853</v>
      </c>
      <c r="G6" s="17" t="s">
        <v>854</v>
      </c>
      <c r="H6" s="14">
        <v>15</v>
      </c>
      <c r="I6" s="14" t="s">
        <v>855</v>
      </c>
      <c r="J6" s="18" t="s">
        <v>856</v>
      </c>
      <c r="K6" s="14" t="s">
        <v>81</v>
      </c>
      <c r="L6" s="12"/>
      <c r="M6" s="14"/>
    </row>
    <row r="7" spans="1:13" x14ac:dyDescent="0.2">
      <c r="A7" s="14" t="s">
        <v>857</v>
      </c>
      <c r="B7" s="14">
        <v>5</v>
      </c>
      <c r="C7" s="17" t="s">
        <v>858</v>
      </c>
      <c r="D7" s="17" t="s">
        <v>859</v>
      </c>
      <c r="E7" s="17" t="s">
        <v>860</v>
      </c>
      <c r="F7" s="17" t="s">
        <v>861</v>
      </c>
      <c r="G7" s="17" t="s">
        <v>862</v>
      </c>
      <c r="H7" s="14">
        <v>1</v>
      </c>
      <c r="I7" s="14" t="s">
        <v>855</v>
      </c>
      <c r="J7" s="18" t="s">
        <v>856</v>
      </c>
      <c r="K7" s="14" t="s">
        <v>633</v>
      </c>
      <c r="L7" s="12"/>
      <c r="M7" s="14"/>
    </row>
    <row r="8" spans="1:13" x14ac:dyDescent="0.2">
      <c r="A8" s="14" t="s">
        <v>863</v>
      </c>
      <c r="B8" s="14">
        <v>5</v>
      </c>
      <c r="C8" s="17" t="s">
        <v>864</v>
      </c>
      <c r="D8" s="17" t="s">
        <v>865</v>
      </c>
      <c r="E8" s="17" t="s">
        <v>866</v>
      </c>
      <c r="F8" s="17" t="s">
        <v>867</v>
      </c>
      <c r="G8" s="17" t="s">
        <v>868</v>
      </c>
      <c r="H8" s="14">
        <v>19</v>
      </c>
      <c r="I8" s="14" t="s">
        <v>847</v>
      </c>
      <c r="J8" s="18" t="s">
        <v>856</v>
      </c>
      <c r="K8" s="14" t="s">
        <v>81</v>
      </c>
      <c r="L8" s="12"/>
      <c r="M8" s="14"/>
    </row>
  </sheetData>
  <conditionalFormatting sqref="K5:M8">
    <cfRule type="expression" dxfId="18" priority="5">
      <formula>#REF!=5</formula>
    </cfRule>
  </conditionalFormatting>
  <conditionalFormatting sqref="A5:A8">
    <cfRule type="expression" dxfId="17" priority="4">
      <formula>$Q5=5</formula>
    </cfRule>
  </conditionalFormatting>
  <conditionalFormatting sqref="H5:I8">
    <cfRule type="expression" dxfId="16" priority="3">
      <formula>$Q5=5</formula>
    </cfRule>
  </conditionalFormatting>
  <conditionalFormatting sqref="J5:J8">
    <cfRule type="expression" dxfId="15" priority="2">
      <formula>$Q5=5</formula>
    </cfRule>
  </conditionalFormatting>
  <conditionalFormatting sqref="B5:B8">
    <cfRule type="expression" dxfId="14" priority="1">
      <formula>$Q5=5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48F3-82D4-A54B-9318-017E5914638F}">
  <dimension ref="A1:M7"/>
  <sheetViews>
    <sheetView workbookViewId="0">
      <selection sqref="A1:M7"/>
    </sheetView>
  </sheetViews>
  <sheetFormatPr baseColWidth="10" defaultRowHeight="16" x14ac:dyDescent="0.2"/>
  <cols>
    <col min="10" max="10" width="15.33203125" customWidth="1"/>
    <col min="11" max="11" width="16.6640625" customWidth="1"/>
  </cols>
  <sheetData>
    <row r="1" spans="1:13" x14ac:dyDescent="0.2">
      <c r="A1" s="10" t="s">
        <v>869</v>
      </c>
      <c r="B1" s="11"/>
      <c r="C1" s="1"/>
      <c r="D1" s="1"/>
      <c r="E1" s="1"/>
      <c r="F1" s="1"/>
      <c r="G1" s="1"/>
      <c r="H1" s="10"/>
      <c r="I1" s="11"/>
      <c r="J1" s="11"/>
      <c r="K1" s="2"/>
      <c r="L1" s="11"/>
      <c r="M1" s="2"/>
    </row>
    <row r="2" spans="1:13" x14ac:dyDescent="0.2">
      <c r="A2" s="10" t="s">
        <v>1</v>
      </c>
      <c r="B2" s="10">
        <f>COUNTA(A5:A7)</f>
        <v>3</v>
      </c>
      <c r="C2" s="1"/>
      <c r="D2" s="1" t="s">
        <v>2</v>
      </c>
      <c r="E2" s="1">
        <f>COUNTA(C5:G7)-COUNTIFS(C5:G7,"=N/A")</f>
        <v>13</v>
      </c>
      <c r="F2" s="1"/>
      <c r="G2" s="1"/>
      <c r="H2" s="10"/>
      <c r="I2" s="11"/>
      <c r="J2" s="11"/>
      <c r="K2" s="2"/>
      <c r="L2" s="11"/>
      <c r="M2" s="2"/>
    </row>
    <row r="3" spans="1:13" x14ac:dyDescent="0.2">
      <c r="A3" s="11"/>
      <c r="B3" s="11"/>
      <c r="C3" s="2"/>
      <c r="D3" s="2"/>
      <c r="E3" s="2"/>
      <c r="F3" s="2"/>
      <c r="G3" s="2"/>
      <c r="H3" s="11"/>
      <c r="I3" s="11"/>
      <c r="J3" s="11"/>
      <c r="K3" s="2"/>
      <c r="L3" s="11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5" t="s">
        <v>13</v>
      </c>
      <c r="L4" s="6" t="s">
        <v>14</v>
      </c>
      <c r="M4" s="5" t="s">
        <v>15</v>
      </c>
    </row>
    <row r="5" spans="1:13" x14ac:dyDescent="0.2">
      <c r="A5" s="21" t="s">
        <v>870</v>
      </c>
      <c r="B5" s="21">
        <v>5</v>
      </c>
      <c r="C5" s="17" t="s">
        <v>871</v>
      </c>
      <c r="D5" s="17" t="s">
        <v>872</v>
      </c>
      <c r="E5" s="17" t="s">
        <v>873</v>
      </c>
      <c r="F5" s="17" t="s">
        <v>874</v>
      </c>
      <c r="G5" s="17" t="s">
        <v>875</v>
      </c>
      <c r="H5" s="21">
        <v>40</v>
      </c>
      <c r="I5" s="21" t="s">
        <v>847</v>
      </c>
      <c r="J5" s="22" t="s">
        <v>876</v>
      </c>
      <c r="K5" s="14"/>
      <c r="L5" s="14"/>
      <c r="M5" s="14"/>
    </row>
    <row r="6" spans="1:13" x14ac:dyDescent="0.2">
      <c r="A6" s="21" t="s">
        <v>877</v>
      </c>
      <c r="B6" s="21">
        <v>4</v>
      </c>
      <c r="C6" s="17" t="s">
        <v>878</v>
      </c>
      <c r="D6" s="14" t="s">
        <v>29</v>
      </c>
      <c r="E6" s="17" t="s">
        <v>879</v>
      </c>
      <c r="F6" s="17" t="s">
        <v>880</v>
      </c>
      <c r="G6" s="17" t="s">
        <v>881</v>
      </c>
      <c r="H6" s="21">
        <v>5</v>
      </c>
      <c r="I6" s="21" t="s">
        <v>855</v>
      </c>
      <c r="J6" s="22" t="s">
        <v>882</v>
      </c>
      <c r="K6" s="14" t="s">
        <v>81</v>
      </c>
      <c r="L6" s="14"/>
      <c r="M6" s="14"/>
    </row>
    <row r="7" spans="1:13" x14ac:dyDescent="0.2">
      <c r="A7" s="21" t="s">
        <v>883</v>
      </c>
      <c r="B7" s="21">
        <v>4</v>
      </c>
      <c r="C7" s="17" t="s">
        <v>884</v>
      </c>
      <c r="D7" s="17" t="s">
        <v>885</v>
      </c>
      <c r="E7" s="17" t="s">
        <v>886</v>
      </c>
      <c r="F7" s="14" t="s">
        <v>29</v>
      </c>
      <c r="G7" s="17" t="s">
        <v>887</v>
      </c>
      <c r="H7" s="21">
        <v>5</v>
      </c>
      <c r="I7" s="21" t="s">
        <v>847</v>
      </c>
      <c r="J7" s="22" t="s">
        <v>882</v>
      </c>
      <c r="K7" s="14" t="s">
        <v>633</v>
      </c>
      <c r="L7" s="14"/>
      <c r="M7" s="14"/>
    </row>
  </sheetData>
  <conditionalFormatting sqref="K5:M7">
    <cfRule type="expression" dxfId="13" priority="5">
      <formula>#REF!=5</formula>
    </cfRule>
  </conditionalFormatting>
  <conditionalFormatting sqref="A5:A7">
    <cfRule type="expression" dxfId="12" priority="4">
      <formula>$Q5=5</formula>
    </cfRule>
  </conditionalFormatting>
  <conditionalFormatting sqref="H5:I7">
    <cfRule type="expression" dxfId="11" priority="3">
      <formula>$Q5=5</formula>
    </cfRule>
  </conditionalFormatting>
  <conditionalFormatting sqref="J5:J7">
    <cfRule type="expression" dxfId="10" priority="2">
      <formula>$Q5=5</formula>
    </cfRule>
  </conditionalFormatting>
  <conditionalFormatting sqref="B5:B7">
    <cfRule type="expression" dxfId="9" priority="1">
      <formula>$Q5=5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424E-3588-7C4C-A144-3B75E97444B7}">
  <dimension ref="A1:M6"/>
  <sheetViews>
    <sheetView workbookViewId="0">
      <selection sqref="A1:M6"/>
    </sheetView>
  </sheetViews>
  <sheetFormatPr baseColWidth="10" defaultRowHeight="16" x14ac:dyDescent="0.2"/>
  <cols>
    <col min="10" max="10" width="17" customWidth="1"/>
    <col min="11" max="11" width="16.1640625" customWidth="1"/>
    <col min="12" max="12" width="15.1640625" customWidth="1"/>
  </cols>
  <sheetData>
    <row r="1" spans="1:13" x14ac:dyDescent="0.2">
      <c r="A1" s="10" t="s">
        <v>888</v>
      </c>
      <c r="B1" s="11"/>
      <c r="C1" s="1"/>
      <c r="D1" s="1"/>
      <c r="E1" s="1"/>
      <c r="F1" s="1"/>
      <c r="G1" s="1"/>
      <c r="H1" s="10"/>
      <c r="I1" s="11"/>
      <c r="J1" s="11"/>
      <c r="K1" s="2"/>
      <c r="L1" s="11"/>
      <c r="M1" s="2"/>
    </row>
    <row r="2" spans="1:13" x14ac:dyDescent="0.2">
      <c r="A2" s="10" t="s">
        <v>1</v>
      </c>
      <c r="B2" s="10">
        <f>COUNTA(A5:A6)</f>
        <v>2</v>
      </c>
      <c r="C2" s="1"/>
      <c r="D2" s="1" t="s">
        <v>2</v>
      </c>
      <c r="E2" s="1">
        <f>COUNTA(C5:G6)-COUNTIFS(C5:G6,"=N/A")</f>
        <v>7</v>
      </c>
      <c r="F2" s="1"/>
      <c r="G2" s="1"/>
      <c r="H2" s="10"/>
      <c r="I2" s="11"/>
      <c r="J2" s="11"/>
      <c r="K2" s="2"/>
      <c r="L2" s="11"/>
      <c r="M2" s="2"/>
    </row>
    <row r="3" spans="1:13" x14ac:dyDescent="0.2">
      <c r="A3" s="11"/>
      <c r="B3" s="11"/>
      <c r="C3" s="2"/>
      <c r="D3" s="2"/>
      <c r="E3" s="2"/>
      <c r="F3" s="2"/>
      <c r="G3" s="2"/>
      <c r="H3" s="11"/>
      <c r="I3" s="11"/>
      <c r="J3" s="11"/>
      <c r="K3" s="2"/>
      <c r="L3" s="11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5" t="s">
        <v>13</v>
      </c>
      <c r="L4" s="6" t="s">
        <v>14</v>
      </c>
      <c r="M4" s="5" t="s">
        <v>15</v>
      </c>
    </row>
    <row r="5" spans="1:13" x14ac:dyDescent="0.2">
      <c r="A5" s="21" t="s">
        <v>889</v>
      </c>
      <c r="B5" s="21">
        <v>3</v>
      </c>
      <c r="C5" s="17" t="s">
        <v>890</v>
      </c>
      <c r="D5" s="14" t="s">
        <v>29</v>
      </c>
      <c r="E5" s="17" t="s">
        <v>891</v>
      </c>
      <c r="F5" s="14" t="s">
        <v>29</v>
      </c>
      <c r="G5" s="17" t="s">
        <v>892</v>
      </c>
      <c r="H5" s="21">
        <v>2</v>
      </c>
      <c r="I5" s="21" t="s">
        <v>22</v>
      </c>
      <c r="J5" s="22" t="s">
        <v>138</v>
      </c>
      <c r="K5" s="14" t="s">
        <v>40</v>
      </c>
      <c r="L5" s="14" t="s">
        <v>24</v>
      </c>
      <c r="M5" s="14"/>
    </row>
    <row r="6" spans="1:13" x14ac:dyDescent="0.2">
      <c r="A6" s="21" t="s">
        <v>893</v>
      </c>
      <c r="B6" s="21">
        <v>4</v>
      </c>
      <c r="C6" s="17" t="s">
        <v>894</v>
      </c>
      <c r="D6" s="14" t="s">
        <v>29</v>
      </c>
      <c r="E6" s="17" t="s">
        <v>895</v>
      </c>
      <c r="F6" s="17" t="s">
        <v>896</v>
      </c>
      <c r="G6" s="17" t="s">
        <v>897</v>
      </c>
      <c r="H6" s="21">
        <v>8</v>
      </c>
      <c r="I6" s="21" t="s">
        <v>31</v>
      </c>
      <c r="J6" s="22" t="s">
        <v>138</v>
      </c>
      <c r="K6" s="14" t="s">
        <v>40</v>
      </c>
      <c r="L6" s="14"/>
      <c r="M6" s="14"/>
    </row>
  </sheetData>
  <conditionalFormatting sqref="K5:M6">
    <cfRule type="expression" dxfId="8" priority="5">
      <formula>#REF!=5</formula>
    </cfRule>
  </conditionalFormatting>
  <conditionalFormatting sqref="A5:A6">
    <cfRule type="expression" dxfId="7" priority="4">
      <formula>$Q5=5</formula>
    </cfRule>
  </conditionalFormatting>
  <conditionalFormatting sqref="B5:B6">
    <cfRule type="expression" dxfId="6" priority="3">
      <formula>$Q5=5</formula>
    </cfRule>
  </conditionalFormatting>
  <conditionalFormatting sqref="J5:J6">
    <cfRule type="expression" dxfId="5" priority="2">
      <formula>$Q5=5</formula>
    </cfRule>
  </conditionalFormatting>
  <conditionalFormatting sqref="H5:I6">
    <cfRule type="expression" dxfId="4" priority="1">
      <formula>$Q5=5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9972-7027-6F4F-BBBB-BB059A44BB3C}">
  <dimension ref="A1:M7"/>
  <sheetViews>
    <sheetView tabSelected="1" workbookViewId="0">
      <selection activeCell="D22" sqref="D22"/>
    </sheetView>
  </sheetViews>
  <sheetFormatPr baseColWidth="10" defaultRowHeight="16" x14ac:dyDescent="0.2"/>
  <cols>
    <col min="10" max="10" width="22.83203125" customWidth="1"/>
    <col min="11" max="11" width="15.83203125" customWidth="1"/>
    <col min="12" max="12" width="17.6640625" customWidth="1"/>
    <col min="13" max="13" width="16.1640625" customWidth="1"/>
  </cols>
  <sheetData>
    <row r="1" spans="1:13" x14ac:dyDescent="0.2">
      <c r="A1" s="10" t="s">
        <v>898</v>
      </c>
      <c r="B1" s="11"/>
      <c r="C1" s="1"/>
      <c r="D1" s="1"/>
      <c r="E1" s="1"/>
      <c r="F1" s="1"/>
      <c r="G1" s="1"/>
      <c r="H1" s="10"/>
      <c r="I1" s="11"/>
      <c r="J1" s="19"/>
      <c r="K1" s="2"/>
      <c r="L1" s="11"/>
      <c r="M1" s="2"/>
    </row>
    <row r="2" spans="1:13" x14ac:dyDescent="0.2">
      <c r="A2" s="10" t="s">
        <v>1</v>
      </c>
      <c r="B2" s="10">
        <f>COUNTA(A5:A7)</f>
        <v>3</v>
      </c>
      <c r="C2" s="1"/>
      <c r="D2" s="1" t="s">
        <v>2</v>
      </c>
      <c r="E2" s="1">
        <f>COUNTA(C5:G7)-COUNTIFS(C5:G7,"=N/A")</f>
        <v>11</v>
      </c>
      <c r="F2" s="1"/>
      <c r="G2" s="1"/>
      <c r="H2" s="10"/>
      <c r="I2" s="11"/>
      <c r="J2" s="19"/>
      <c r="K2" s="2"/>
      <c r="L2" s="11"/>
      <c r="M2" s="2"/>
    </row>
    <row r="3" spans="1:13" x14ac:dyDescent="0.2">
      <c r="A3" s="11"/>
      <c r="B3" s="11"/>
      <c r="C3" s="2"/>
      <c r="D3" s="2"/>
      <c r="E3" s="2"/>
      <c r="F3" s="2"/>
      <c r="G3" s="2"/>
      <c r="H3" s="11"/>
      <c r="I3" s="11"/>
      <c r="J3" s="19"/>
      <c r="K3" s="2"/>
      <c r="L3" s="11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5" t="s">
        <v>13</v>
      </c>
      <c r="L4" s="6" t="s">
        <v>14</v>
      </c>
      <c r="M4" s="5" t="s">
        <v>15</v>
      </c>
    </row>
    <row r="5" spans="1:13" x14ac:dyDescent="0.2">
      <c r="A5" s="14" t="s">
        <v>906</v>
      </c>
      <c r="B5" s="14">
        <v>5</v>
      </c>
      <c r="C5" s="14" t="s">
        <v>907</v>
      </c>
      <c r="D5" s="14" t="s">
        <v>908</v>
      </c>
      <c r="E5" s="14" t="s">
        <v>909</v>
      </c>
      <c r="F5" s="14" t="s">
        <v>910</v>
      </c>
      <c r="G5" s="14" t="s">
        <v>911</v>
      </c>
      <c r="H5" s="14">
        <v>49</v>
      </c>
      <c r="I5" s="14" t="s">
        <v>22</v>
      </c>
      <c r="J5" s="18" t="s">
        <v>912</v>
      </c>
      <c r="K5" s="14"/>
      <c r="L5" s="14"/>
      <c r="M5" s="14"/>
    </row>
    <row r="6" spans="1:13" x14ac:dyDescent="0.2">
      <c r="A6" s="14" t="s">
        <v>920</v>
      </c>
      <c r="B6" s="16" t="s">
        <v>683</v>
      </c>
      <c r="C6" s="14" t="s">
        <v>921</v>
      </c>
      <c r="D6" s="16" t="s">
        <v>29</v>
      </c>
      <c r="E6" s="16" t="s">
        <v>29</v>
      </c>
      <c r="F6" s="16" t="s">
        <v>29</v>
      </c>
      <c r="G6" s="16" t="s">
        <v>29</v>
      </c>
      <c r="H6" s="16">
        <v>65</v>
      </c>
      <c r="I6" s="16" t="s">
        <v>22</v>
      </c>
      <c r="J6" s="29" t="s">
        <v>170</v>
      </c>
      <c r="K6" s="16"/>
      <c r="L6" s="16"/>
      <c r="M6" s="16" t="s">
        <v>922</v>
      </c>
    </row>
    <row r="7" spans="1:13" x14ac:dyDescent="0.2">
      <c r="A7" s="14" t="s">
        <v>923</v>
      </c>
      <c r="B7" s="14">
        <v>5</v>
      </c>
      <c r="C7" s="14" t="s">
        <v>924</v>
      </c>
      <c r="D7" s="14" t="s">
        <v>925</v>
      </c>
      <c r="E7" s="14" t="s">
        <v>926</v>
      </c>
      <c r="F7" s="14" t="s">
        <v>927</v>
      </c>
      <c r="G7" s="14" t="s">
        <v>928</v>
      </c>
      <c r="H7" s="14">
        <v>37</v>
      </c>
      <c r="I7" s="14" t="s">
        <v>22</v>
      </c>
      <c r="J7" s="18" t="s">
        <v>912</v>
      </c>
      <c r="K7" s="14"/>
      <c r="L7" s="14"/>
      <c r="M7" s="14"/>
    </row>
  </sheetData>
  <conditionalFormatting sqref="K5:M7 C5:G7">
    <cfRule type="expression" dxfId="3" priority="2">
      <formula>#REF!=5</formula>
    </cfRule>
  </conditionalFormatting>
  <conditionalFormatting sqref="A5:B7 H5:J7">
    <cfRule type="expression" dxfId="2" priority="1">
      <formula>$T5=5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811E-1864-424C-A678-5498FBB10D80}">
  <dimension ref="A1:M7"/>
  <sheetViews>
    <sheetView workbookViewId="0">
      <selection activeCell="L59" sqref="L59"/>
    </sheetView>
  </sheetViews>
  <sheetFormatPr baseColWidth="10" defaultRowHeight="16" x14ac:dyDescent="0.2"/>
  <cols>
    <col min="10" max="10" width="22.83203125" customWidth="1"/>
    <col min="11" max="11" width="15.83203125" customWidth="1"/>
    <col min="12" max="12" width="17.6640625" customWidth="1"/>
    <col min="13" max="13" width="16.1640625" customWidth="1"/>
  </cols>
  <sheetData>
    <row r="1" spans="1:13" x14ac:dyDescent="0.2">
      <c r="A1" s="10" t="s">
        <v>898</v>
      </c>
      <c r="B1" s="11"/>
      <c r="C1" s="1"/>
      <c r="D1" s="1"/>
      <c r="E1" s="1"/>
      <c r="F1" s="1"/>
      <c r="G1" s="1"/>
      <c r="H1" s="10"/>
      <c r="I1" s="11"/>
      <c r="J1" s="19"/>
      <c r="K1" s="2"/>
      <c r="L1" s="11"/>
      <c r="M1" s="2"/>
    </row>
    <row r="2" spans="1:13" x14ac:dyDescent="0.2">
      <c r="A2" s="10" t="s">
        <v>1</v>
      </c>
      <c r="B2" s="10">
        <f>COUNTA(A5:A7)</f>
        <v>3</v>
      </c>
      <c r="C2" s="1"/>
      <c r="D2" s="1" t="s">
        <v>2</v>
      </c>
      <c r="E2" s="1">
        <f>COUNTA(C5:G7)-COUNTIFS(C5:G7,"=N/A")</f>
        <v>15</v>
      </c>
      <c r="F2" s="1"/>
      <c r="G2" s="1"/>
      <c r="H2" s="10"/>
      <c r="I2" s="11"/>
      <c r="J2" s="19"/>
      <c r="K2" s="2"/>
      <c r="L2" s="11"/>
      <c r="M2" s="2"/>
    </row>
    <row r="3" spans="1:13" x14ac:dyDescent="0.2">
      <c r="A3" s="11"/>
      <c r="B3" s="11"/>
      <c r="C3" s="2"/>
      <c r="D3" s="2"/>
      <c r="E3" s="2"/>
      <c r="F3" s="2"/>
      <c r="G3" s="2"/>
      <c r="H3" s="11"/>
      <c r="I3" s="11"/>
      <c r="J3" s="19"/>
      <c r="K3" s="2"/>
      <c r="L3" s="11"/>
      <c r="M3" s="2"/>
    </row>
    <row r="4" spans="1:13" ht="32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5" t="s">
        <v>13</v>
      </c>
      <c r="L4" s="6" t="s">
        <v>14</v>
      </c>
      <c r="M4" s="5" t="s">
        <v>15</v>
      </c>
    </row>
    <row r="5" spans="1:13" x14ac:dyDescent="0.2">
      <c r="A5" s="14" t="s">
        <v>899</v>
      </c>
      <c r="B5" s="14">
        <v>5</v>
      </c>
      <c r="C5" s="14" t="s">
        <v>900</v>
      </c>
      <c r="D5" s="14" t="s">
        <v>901</v>
      </c>
      <c r="E5" s="14" t="s">
        <v>902</v>
      </c>
      <c r="F5" s="14" t="s">
        <v>903</v>
      </c>
      <c r="G5" s="14" t="s">
        <v>904</v>
      </c>
      <c r="H5" s="14">
        <v>56</v>
      </c>
      <c r="I5" s="14" t="s">
        <v>22</v>
      </c>
      <c r="J5" s="18" t="s">
        <v>905</v>
      </c>
      <c r="K5" s="14"/>
      <c r="L5" s="14"/>
      <c r="M5" s="14"/>
    </row>
    <row r="6" spans="1:13" x14ac:dyDescent="0.2">
      <c r="A6" s="14" t="s">
        <v>913</v>
      </c>
      <c r="B6" s="14">
        <v>5</v>
      </c>
      <c r="C6" s="14" t="s">
        <v>914</v>
      </c>
      <c r="D6" s="14" t="s">
        <v>915</v>
      </c>
      <c r="E6" s="14" t="s">
        <v>916</v>
      </c>
      <c r="F6" s="14" t="s">
        <v>917</v>
      </c>
      <c r="G6" s="14" t="s">
        <v>918</v>
      </c>
      <c r="H6" s="14">
        <v>63</v>
      </c>
      <c r="I6" s="14" t="s">
        <v>22</v>
      </c>
      <c r="J6" s="18" t="s">
        <v>919</v>
      </c>
      <c r="K6" s="14"/>
      <c r="L6" s="14"/>
      <c r="M6" s="14"/>
    </row>
    <row r="7" spans="1:13" x14ac:dyDescent="0.2">
      <c r="A7" s="14" t="s">
        <v>929</v>
      </c>
      <c r="B7" s="14">
        <v>5</v>
      </c>
      <c r="C7" s="14" t="s">
        <v>930</v>
      </c>
      <c r="D7" s="14" t="s">
        <v>931</v>
      </c>
      <c r="E7" s="14" t="s">
        <v>932</v>
      </c>
      <c r="F7" s="14" t="s">
        <v>933</v>
      </c>
      <c r="G7" s="14" t="s">
        <v>934</v>
      </c>
      <c r="H7" s="14">
        <v>38</v>
      </c>
      <c r="I7" s="14" t="s">
        <v>22</v>
      </c>
      <c r="J7" s="18" t="s">
        <v>905</v>
      </c>
      <c r="K7" s="14"/>
      <c r="L7" s="14"/>
      <c r="M7" s="14"/>
    </row>
  </sheetData>
  <conditionalFormatting sqref="K5:M7 C5:G7">
    <cfRule type="expression" dxfId="1" priority="2">
      <formula>#REF!=5</formula>
    </cfRule>
  </conditionalFormatting>
  <conditionalFormatting sqref="A5:B7 H5:J7">
    <cfRule type="expression" dxfId="0" priority="1">
      <formula>$T5=5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1_CNS-Glioblastoma</vt:lpstr>
      <vt:lpstr>2_H&amp;N_cancer</vt:lpstr>
      <vt:lpstr>3_CNS-Meningioma</vt:lpstr>
      <vt:lpstr>4_Chordoma_Chondrosarcoma</vt:lpstr>
      <vt:lpstr>5_CNS-other</vt:lpstr>
      <vt:lpstr>6_Sarcoma-Ewing</vt:lpstr>
      <vt:lpstr>7_Lymphoma</vt:lpstr>
      <vt:lpstr>8_CNS-Ependymoma</vt:lpstr>
      <vt:lpstr>9_CNS-Medulloblastoma</vt:lpstr>
      <vt:lpstr>10_Sarcoma-Rhabdomyosarcoma</vt:lpstr>
      <vt:lpstr>11_Sarcoma-other</vt:lpstr>
      <vt:lpstr>12_Sarcoma-Neuroblastoma</vt:lpstr>
      <vt:lpstr>13_Other</vt:lpstr>
      <vt:lpstr>14_Other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Schlueter, Hannah</dc:creator>
  <cp:lastModifiedBy>Schlueter, Hannah</cp:lastModifiedBy>
  <dcterms:created xsi:type="dcterms:W3CDTF">2024-07-04T19:26:04Z</dcterms:created>
  <dcterms:modified xsi:type="dcterms:W3CDTF">2024-07-04T22:49:07Z</dcterms:modified>
</cp:coreProperties>
</file>